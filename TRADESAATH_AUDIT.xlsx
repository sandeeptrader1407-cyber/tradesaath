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ech Stack" sheetId="2" state="visible" r:id="rId4"/>
    <sheet name="Database Schema" sheetId="3" state="visible" r:id="rId5"/>
    <sheet name="API Routes" sheetId="4" state="visible" r:id="rId6"/>
    <sheet name="Pages &amp; State" sheetId="5" state="visible" r:id="rId7"/>
    <sheet name="Components" sheetId="6" state="visible" r:id="rId8"/>
    <sheet name="Data Flows" sheetId="7" state="visible" r:id="rId9"/>
    <sheet name="Config &amp; Env" sheetId="8" state="visible" r:id="rId10"/>
    <sheet name="File Sizes" sheetId="9" state="visible" r:id="rId11"/>
    <sheet name="Issues &amp; Deb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<sst xmlns="http://schemas.openxmlformats.org/spreadsheetml/2006/main" count="978" uniqueCount="614">
  <si>
    <t xml:space="preserve">TradeSaath — Complete Codebase Audit</t>
  </si>
  <si>
    <t xml:space="preserve">April 12, 2026 | Version 0.1.0</t>
  </si>
  <si>
    <t xml:space="preserve">Project Name</t>
  </si>
  <si>
    <t xml:space="preserve">TradeSaath</t>
  </si>
  <si>
    <t xml:space="preserve">Tagline</t>
  </si>
  <si>
    <t xml:space="preserve">AI Trading Psychology Coach</t>
  </si>
  <si>
    <t xml:space="preserve">Version</t>
  </si>
  <si>
    <t xml:space="preserve">0.1.0</t>
  </si>
  <si>
    <t xml:space="preserve">Total Lines of Code</t>
  </si>
  <si>
    <t xml:space="preserve">~13,263</t>
  </si>
  <si>
    <t xml:space="preserve">Total Files (TS/TSX)</t>
  </si>
  <si>
    <t xml:space="preserve">~55</t>
  </si>
  <si>
    <t xml:space="preserve">Total API Routes</t>
  </si>
  <si>
    <t xml:space="preserve">16</t>
  </si>
  <si>
    <t xml:space="preserve">Total Pages</t>
  </si>
  <si>
    <t xml:space="preserve">8</t>
  </si>
  <si>
    <t xml:space="preserve">Total Zustand Stores</t>
  </si>
  <si>
    <t xml:space="preserve">3</t>
  </si>
  <si>
    <t xml:space="preserve">Total Supabase Tables</t>
  </si>
  <si>
    <t xml:space="preserve">6</t>
  </si>
  <si>
    <t xml:space="preserve">Storage Buckets</t>
  </si>
  <si>
    <t xml:space="preserve">1 (trade-files)</t>
  </si>
  <si>
    <t xml:space="preserve">Framework</t>
  </si>
  <si>
    <t xml:space="preserve">Next.js 14.2.35 (App Router)</t>
  </si>
  <si>
    <t xml:space="preserve">Language</t>
  </si>
  <si>
    <t xml:space="preserve">TypeScript 5.x (strict mode)</t>
  </si>
  <si>
    <t xml:space="preserve">Hosting</t>
  </si>
  <si>
    <t xml:space="preserve">Vercel (Serverless)</t>
  </si>
  <si>
    <t xml:space="preserve">Database</t>
  </si>
  <si>
    <t xml:space="preserve">Supabase (PostgreSQL)</t>
  </si>
  <si>
    <t xml:space="preserve">Auth</t>
  </si>
  <si>
    <t xml:space="preserve">Clerk 6.39.0</t>
  </si>
  <si>
    <t xml:space="preserve">Payments</t>
  </si>
  <si>
    <t xml:space="preserve">Razorpay (INR)</t>
  </si>
  <si>
    <t xml:space="preserve">AI Engine</t>
  </si>
  <si>
    <t xml:space="preserve">Anthropic Claude Sonnet 4</t>
  </si>
  <si>
    <t xml:space="preserve">Technology</t>
  </si>
  <si>
    <t xml:space="preserve">Usage</t>
  </si>
  <si>
    <t xml:space="preserve">Next.js</t>
  </si>
  <si>
    <t xml:space="preserve">14.2.35</t>
  </si>
  <si>
    <t xml:space="preserve">App Router, API routes, SSR</t>
  </si>
  <si>
    <t xml:space="preserve">React</t>
  </si>
  <si>
    <t xml:space="preserve">18.x</t>
  </si>
  <si>
    <t xml:space="preserve">UI framework</t>
  </si>
  <si>
    <t xml:space="preserve">TypeScript</t>
  </si>
  <si>
    <t xml:space="preserve">5.x</t>
  </si>
  <si>
    <t xml:space="preserve">Type safety (strict mode, skipLibCheck)</t>
  </si>
  <si>
    <t xml:space="preserve">Tailwind CSS</t>
  </si>
  <si>
    <t xml:space="preserve">3.4.1</t>
  </si>
  <si>
    <t xml:space="preserve">Utility-first styling via CSS variables</t>
  </si>
  <si>
    <t xml:space="preserve">Clerk</t>
  </si>
  <si>
    <t xml:space="preserve">6.39.0</t>
  </si>
  <si>
    <t xml:space="preserve">Authentication (sign-in, sign-up, webhooks, middleware)</t>
  </si>
  <si>
    <t xml:space="preserve">Supabase</t>
  </si>
  <si>
    <t xml:space="preserve">2.99.3</t>
  </si>
  <si>
    <t xml:space="preserve">PostgreSQL database + file storage</t>
  </si>
  <si>
    <t xml:space="preserve">Razorpay</t>
  </si>
  <si>
    <t xml:space="preserve">2.9.6</t>
  </si>
  <si>
    <t xml:space="preserve">Payment processing (INR, 3 plans)</t>
  </si>
  <si>
    <t xml:space="preserve">Anthropic Claude SDK</t>
  </si>
  <si>
    <t xml:space="preserve">0.80.0</t>
  </si>
  <si>
    <t xml:space="preserve">AI analysis (claude-sonnet-4-20250514)</t>
  </si>
  <si>
    <t xml:space="preserve">Zustand</t>
  </si>
  <si>
    <t xml:space="preserve">5.0.12</t>
  </si>
  <si>
    <t xml:space="preserve">Client-side state management (3 stores)</t>
  </si>
  <si>
    <t xml:space="preserve">PapaParse</t>
  </si>
  <si>
    <t xml:space="preserve">5.5.3</t>
  </si>
  <si>
    <t xml:space="preserve">CSV parsing</t>
  </si>
  <si>
    <t xml:space="preserve">pdf-parse</t>
  </si>
  <si>
    <t xml:space="preserve">1.1.1</t>
  </si>
  <si>
    <t xml:space="preserve">PDF text extraction</t>
  </si>
  <si>
    <t xml:space="preserve">unpdf</t>
  </si>
  <si>
    <t xml:space="preserve">1.4.0</t>
  </si>
  <si>
    <t xml:space="preserve">Modern PDF extraction</t>
  </si>
  <si>
    <t xml:space="preserve">Tesseract.js</t>
  </si>
  <si>
    <t xml:space="preserve">7.0.0</t>
  </si>
  <si>
    <t xml:space="preserve">OCR for image-based broker statements</t>
  </si>
  <si>
    <t xml:space="preserve">xlsx</t>
  </si>
  <si>
    <t xml:space="preserve">0.18.5</t>
  </si>
  <si>
    <t xml:space="preserve">Excel file reading</t>
  </si>
  <si>
    <t xml:space="preserve">Svix</t>
  </si>
  <si>
    <t xml:space="preserve">1.88.0</t>
  </si>
  <si>
    <t xml:space="preserve">Clerk webhook signature verification</t>
  </si>
  <si>
    <t xml:space="preserve">uuid</t>
  </si>
  <si>
    <t xml:space="preserve">13.0.0</t>
  </si>
  <si>
    <t xml:space="preserve">UUID generation for session keys</t>
  </si>
  <si>
    <t xml:space="preserve">Column</t>
  </si>
  <si>
    <t xml:space="preserve">Type</t>
  </si>
  <si>
    <t xml:space="preserve">Constraints</t>
  </si>
  <si>
    <t xml:space="preserve">Notes</t>
  </si>
  <si>
    <t xml:space="preserve">TABLE: users</t>
  </si>
  <si>
    <t xml:space="preserve">id</t>
  </si>
  <si>
    <t xml:space="preserve">UUID</t>
  </si>
  <si>
    <t xml:space="preserve">PK, default gen_random_uuid()</t>
  </si>
  <si>
    <t xml:space="preserve">email</t>
  </si>
  <si>
    <t xml:space="preserve">TEXT</t>
  </si>
  <si>
    <t xml:space="preserve">NOT NULL</t>
  </si>
  <si>
    <t xml:space="preserve">name</t>
  </si>
  <si>
    <t xml:space="preserve">nullable</t>
  </si>
  <si>
    <t xml:space="preserve">plan</t>
  </si>
  <si>
    <t xml:space="preserve">default 'free'</t>
  </si>
  <si>
    <t xml:space="preserve">free|single|pro_monthly|pro_yearly</t>
  </si>
  <si>
    <t xml:space="preserve">clerk_id</t>
  </si>
  <si>
    <t xml:space="preserve">UNIQUE, NOT NULL</t>
  </si>
  <si>
    <t xml:space="preserve">Immutable Clerk user ID</t>
  </si>
  <si>
    <t xml:space="preserve">created_at</t>
  </si>
  <si>
    <t xml:space="preserve">TIMESTAMPTZ</t>
  </si>
  <si>
    <t xml:space="preserve">default now()</t>
  </si>
  <si>
    <t xml:space="preserve">TABLE: trade_sessions</t>
  </si>
  <si>
    <t xml:space="preserve">PK</t>
  </si>
  <si>
    <t xml:space="preserve">user_id</t>
  </si>
  <si>
    <t xml:space="preserve">Clerk user ID (logged-in users)</t>
  </si>
  <si>
    <t xml:space="preserve">anon_id</t>
  </si>
  <si>
    <t xml:space="preserve">Cookie-based anonymous ID</t>
  </si>
  <si>
    <t xml:space="preserve">session_key</t>
  </si>
  <si>
    <t xml:space="preserve">Random UUID for anon sessions</t>
  </si>
  <si>
    <t xml:space="preserve">broker / broker_name</t>
  </si>
  <si>
    <t xml:space="preserve">file_name</t>
  </si>
  <si>
    <t xml:space="preserve">trade_date</t>
  </si>
  <si>
    <t xml:space="preserve">DATE</t>
  </si>
  <si>
    <t xml:space="preserve">detected_market</t>
  </si>
  <si>
    <t xml:space="preserve">NSE|NYSE|Forex|Crypto|Unknown</t>
  </si>
  <si>
    <t xml:space="preserve">detected_currency</t>
  </si>
  <si>
    <t xml:space="preserve">default 'INR'</t>
  </si>
  <si>
    <t xml:space="preserve">INR|USD|EUR</t>
  </si>
  <si>
    <t xml:space="preserve">detected_broker</t>
  </si>
  <si>
    <t xml:space="preserve">Auto-detected broker name</t>
  </si>
  <si>
    <t xml:space="preserve">trades</t>
  </si>
  <si>
    <t xml:space="preserve">JSONB</t>
  </si>
  <si>
    <t xml:space="preserve">Full StandardTrade[] array</t>
  </si>
  <si>
    <t xml:space="preserve">analysis</t>
  </si>
  <si>
    <t xml:space="preserve">Claude AI analysis result</t>
  </si>
  <si>
    <t xml:space="preserve">context</t>
  </si>
  <si>
    <t xml:space="preserve">User context answers</t>
  </si>
  <si>
    <t xml:space="preserve">trade_count</t>
  </si>
  <si>
    <t xml:space="preserve">INTEGER</t>
  </si>
  <si>
    <t xml:space="preserve">default 0</t>
  </si>
  <si>
    <t xml:space="preserve">net_pnl</t>
  </si>
  <si>
    <t xml:space="preserve">NUMERIC</t>
  </si>
  <si>
    <t xml:space="preserve">win_count / loss_count</t>
  </si>
  <si>
    <t xml:space="preserve">win_rate</t>
  </si>
  <si>
    <t xml:space="preserve">Percentage 0-100</t>
  </si>
  <si>
    <t xml:space="preserve">profit_factor</t>
  </si>
  <si>
    <t xml:space="preserve">best_trade / worst_trade</t>
  </si>
  <si>
    <t xml:space="preserve">Plan used at creation</t>
  </si>
  <si>
    <t xml:space="preserve">payment_id</t>
  </si>
  <si>
    <t xml:space="preserve">Razorpay payment ID</t>
  </si>
  <si>
    <t xml:space="preserve">created_at / updated_at</t>
  </si>
  <si>
    <t xml:space="preserve">TABLE: trade_analysis</t>
  </si>
  <si>
    <t xml:space="preserve">session_id</t>
  </si>
  <si>
    <t xml:space="preserve">FK -&gt; trade_sessions(id) CASCADE</t>
  </si>
  <si>
    <t xml:space="preserve">trade_index</t>
  </si>
  <si>
    <t xml:space="preserve">Position in trades array</t>
  </si>
  <si>
    <t xml:space="preserve">Anonymous user tracking</t>
  </si>
  <si>
    <t xml:space="preserve">symbol / side</t>
  </si>
  <si>
    <t xml:space="preserve">entry_price / exit_price</t>
  </si>
  <si>
    <t xml:space="preserve">quantity / pnl</t>
  </si>
  <si>
    <t xml:space="preserve">entry_time / exit_time</t>
  </si>
  <si>
    <t xml:space="preserve">tag</t>
  </si>
  <si>
    <t xml:space="preserve">win|fomo|rvg|avg|pnc|vs</t>
  </si>
  <si>
    <t xml:space="preserve">tag_label</t>
  </si>
  <si>
    <t xml:space="preserve">Human-readable tag</t>
  </si>
  <si>
    <t xml:space="preserve">quick_summary</t>
  </si>
  <si>
    <t xml:space="preserve">AI trade summary</t>
  </si>
  <si>
    <t xml:space="preserve">psychology_coaching</t>
  </si>
  <si>
    <t xml:space="preserve">Behavioral coaching</t>
  </si>
  <si>
    <t xml:space="preserve">counterfactual</t>
  </si>
  <si>
    <t xml:space="preserve">What-if analysis</t>
  </si>
  <si>
    <t xml:space="preserve">technical_analysis</t>
  </si>
  <si>
    <t xml:space="preserve">Market structure analysis</t>
  </si>
  <si>
    <t xml:space="preserve">cycle_stage</t>
  </si>
  <si>
    <t xml:space="preserve">Vicious cycle position</t>
  </si>
  <si>
    <t xml:space="preserve">notes</t>
  </si>
  <si>
    <t xml:space="preserve">User notes</t>
  </si>
  <si>
    <t xml:space="preserve">TABLE: raw_files</t>
  </si>
  <si>
    <t xml:space="preserve">user_id / anon_id</t>
  </si>
  <si>
    <t xml:space="preserve">Owner identification</t>
  </si>
  <si>
    <t xml:space="preserve">FK -&gt; trade_sessions SET NULL</t>
  </si>
  <si>
    <t xml:space="preserve">file_type</t>
  </si>
  <si>
    <t xml:space="preserve">pdf|csv|xlsx|png|jpg</t>
  </si>
  <si>
    <t xml:space="preserve">file_size_bytes</t>
  </si>
  <si>
    <t xml:space="preserve">BIGINT</t>
  </si>
  <si>
    <t xml:space="preserve">storage_path</t>
  </si>
  <si>
    <t xml:space="preserve">Supabase Storage path</t>
  </si>
  <si>
    <t xml:space="preserve">broker_detected</t>
  </si>
  <si>
    <t xml:space="preserve">trades_count</t>
  </si>
  <si>
    <t xml:space="preserve">uploaded_at</t>
  </si>
  <si>
    <t xml:space="preserve">analysed_at</t>
  </si>
  <si>
    <t xml:space="preserve">TABLE: user_plans</t>
  </si>
  <si>
    <t xml:space="preserve">razorpay_payment_id</t>
  </si>
  <si>
    <t xml:space="preserve">razorpay_subscription_id</t>
  </si>
  <si>
    <t xml:space="preserve">plan_started_at</t>
  </si>
  <si>
    <t xml:space="preserve">plan_expires_at</t>
  </si>
  <si>
    <t xml:space="preserve">30d monthly, 365d yearly</t>
  </si>
  <si>
    <t xml:space="preserve">TABLE: user_journeys</t>
  </si>
  <si>
    <t xml:space="preserve">experience</t>
  </si>
  <si>
    <t xml:space="preserve">Trading experience level</t>
  </si>
  <si>
    <t xml:space="preserve">instruments</t>
  </si>
  <si>
    <t xml:space="preserve">Instruments traded</t>
  </si>
  <si>
    <t xml:space="preserve">challenge</t>
  </si>
  <si>
    <t xml:space="preserve">Main trading challenge</t>
  </si>
  <si>
    <t xml:space="preserve">goal</t>
  </si>
  <si>
    <t xml:space="preserve">Trading goal</t>
  </si>
  <si>
    <t xml:space="preserve">perfect_day</t>
  </si>
  <si>
    <t xml:space="preserve">Vision of perfect day</t>
  </si>
  <si>
    <t xml:space="preserve">one_change</t>
  </si>
  <si>
    <t xml:space="preserve">Desired change</t>
  </si>
  <si>
    <t xml:space="preserve">Route</t>
  </si>
  <si>
    <t xml:space="preserve">Method</t>
  </si>
  <si>
    <t xml:space="preserve">Purpose</t>
  </si>
  <si>
    <t xml:space="preserve">External Services</t>
  </si>
  <si>
    <t xml:space="preserve">/api/analyse</t>
  </si>
  <si>
    <t xml:space="preserve">POST</t>
  </si>
  <si>
    <t xml:space="preserve">No</t>
  </si>
  <si>
    <t xml:space="preserve">Two-call Claude AI: extract trades + psychology analysis. Saves to Supabase non-blocking. 90s max.</t>
  </si>
  <si>
    <t xml:space="preserve">Claude API, Supabase</t>
  </si>
  <si>
    <t xml:space="preserve">/api/parse</t>
  </si>
  <si>
    <t xml:space="preserve">Local file parsing (no AI). CSV/Excel/PDF extraction via trade-parser.ts. Instant response.</t>
  </si>
  <si>
    <t xml:space="preserve">None (local parsing)</t>
  </si>
  <si>
    <t xml:space="preserve">/api/extract</t>
  </si>
  <si>
    <t xml:space="preserve">Claude-powered file extraction with vision. Handles images, PDFs.</t>
  </si>
  <si>
    <t xml:space="preserve">Claude API</t>
  </si>
  <si>
    <t xml:space="preserve">/api/chat</t>
  </si>
  <si>
    <t xml:space="preserve">Pro plan</t>
  </si>
  <si>
    <t xml:space="preserve">Psychology coaching chatbot (Saathi). 8-message history. Uses recent sessions as context.</t>
  </si>
  <si>
    <t xml:space="preserve">/api/coach</t>
  </si>
  <si>
    <t xml:space="preserve">Yes</t>
  </si>
  <si>
    <t xml:space="preserve">Structured coaching plan generator. 5 tabs. Aggregates patterns and costs.</t>
  </si>
  <si>
    <t xml:space="preserve">/api/dashboard/stats</t>
  </si>
  <si>
    <t xml:space="preserve">GET</t>
  </si>
  <si>
    <t xml:space="preserve">Aggregates all KPIs: equity curve, streaks, heatmap, mistakes, DQS score.</t>
  </si>
  <si>
    <t xml:space="preserve">/api/auth/sync</t>
  </si>
  <si>
    <t xml:space="preserve">Clerk-to-Supabase user sync. Migrates anonymous data on login.</t>
  </si>
  <si>
    <t xml:space="preserve">/api/payments/create-order</t>
  </si>
  <si>
    <t xml:space="preserve">Creates Razorpay order (99/799/499 INR). Saves pending payment.</t>
  </si>
  <si>
    <t xml:space="preserve">Razorpay, Supabase</t>
  </si>
  <si>
    <t xml:space="preserve">/api/payments/verify</t>
  </si>
  <si>
    <t xml:space="preserve">HMAC</t>
  </si>
  <si>
    <t xml:space="preserve">Verifies Razorpay HMAC-SHA256. Upgrades plan with expiry.</t>
  </si>
  <si>
    <t xml:space="preserve">/api/user/plan</t>
  </si>
  <si>
    <t xml:space="preserve">Returns current plan with expiry check. Falls back to 'free'.</t>
  </si>
  <si>
    <t xml:space="preserve">/api/user/journey</t>
  </si>
  <si>
    <t xml:space="preserve">GET/POST</t>
  </si>
  <si>
    <t xml:space="preserve">Trading psychology profile CRUD (experience, goals, challenges).</t>
  </si>
  <si>
    <t xml:space="preserve">/api/journal/sessions</t>
  </si>
  <si>
    <t xml:space="preserve">Last 50 sessions with per-trade AI analysis merged in.</t>
  </si>
  <si>
    <t xml:space="preserve">/api/sessions</t>
  </si>
  <si>
    <t xml:space="preserve">Legacy session CRUD. Used by coach page.</t>
  </si>
  <si>
    <t xml:space="preserve">/api/webhooks/clerk</t>
  </si>
  <si>
    <t xml:space="preserve">Svix sig</t>
  </si>
  <si>
    <t xml:space="preserve">Handles user.created events. Inserts user. Handles duplicate key.</t>
  </si>
  <si>
    <t xml:space="preserve">/api/health</t>
  </si>
  <si>
    <t xml:space="preserve">Tests Claude and Gemini API connectivity.</t>
  </si>
  <si>
    <t xml:space="preserve">Claude, Gemini</t>
  </si>
  <si>
    <t xml:space="preserve">/api/storage/setup</t>
  </si>
  <si>
    <t xml:space="preserve">One-time: creates trade-files storage bucket.</t>
  </si>
  <si>
    <t xml:space="preserve">Supabase Storage</t>
  </si>
  <si>
    <t xml:space="preserve">Page Route</t>
  </si>
  <si>
    <t xml:space="preserve">Plan Gate</t>
  </si>
  <si>
    <t xml:space="preserve">Key Components</t>
  </si>
  <si>
    <t xml:space="preserve">API Calls</t>
  </si>
  <si>
    <t xml:space="preserve">/</t>
  </si>
  <si>
    <t xml:space="preserve">None</t>
  </si>
  <si>
    <t xml:space="preserve">Hero, HomeUpload, HowItWorks, Features, Pricing, FAQ</t>
  </si>
  <si>
    <t xml:space="preserve">None (static)</t>
  </si>
  <si>
    <t xml:space="preserve">/upload</t>
  </si>
  <si>
    <t xml:space="preserve">Dropzone, FileChips, TradingContext, AnalyseButton, KPIStrip, SessionSummary, MomentumIndicators, ViciousCycle, TechnicalInsights, TradeDetail, PaywallGate, EquityCurve</t>
  </si>
  <si>
    <t xml:space="preserve">POST /api/parse, POST /api/analyse</t>
  </si>
  <si>
    <t xml:space="preserve">/dashboard</t>
  </si>
  <si>
    <t xml:space="preserve">TradeSaathScore, PreMarketCheckin, PerformanceKPIs, EquityCurve, SummaryCards, BehavioralInsights, GoalTracking, RecentActivity, Heatmap, MistakeCost, DQS</t>
  </si>
  <si>
    <t xml:space="preserve">GET /api/dashboard/stats</t>
  </si>
  <si>
    <t xml:space="preserve">/journal</t>
  </si>
  <si>
    <t xml:space="preserve">Paid</t>
  </si>
  <si>
    <t xml:space="preserve">SessionList, SessionDetail, CalendarCard, JournalStats, ChatWrapper</t>
  </si>
  <si>
    <t xml:space="preserve">GET /api/journal/sessions</t>
  </si>
  <si>
    <t xml:space="preserve">/coach</t>
  </si>
  <si>
    <t xml:space="preserve">Pro</t>
  </si>
  <si>
    <t xml:space="preserve">Tab-based coaching with AI plans, rule checklist, discipline trends</t>
  </si>
  <si>
    <t xml:space="preserve">GET /api/sessions, POST /api/coach</t>
  </si>
  <si>
    <t xml:space="preserve">/journey</t>
  </si>
  <si>
    <t xml:space="preserve">TradingJourney (6-step questionnaire)</t>
  </si>
  <si>
    <t xml:space="preserve">GET/POST /api/user/journey</t>
  </si>
  <si>
    <t xml:space="preserve">/pricing</t>
  </si>
  <si>
    <t xml:space="preserve">Pricing (3-tier with Razorpay)</t>
  </si>
  <si>
    <t xml:space="preserve">Razorpay checkout</t>
  </si>
  <si>
    <t xml:space="preserve">/sign-in</t>
  </si>
  <si>
    <t xml:space="preserve">Clerk SignIn (forceRedirectUrl=/dashboard)</t>
  </si>
  <si>
    <t xml:space="preserve">Clerk API</t>
  </si>
  <si>
    <t xml:space="preserve">/sign-up</t>
  </si>
  <si>
    <t xml:space="preserve">Clerk SignUp (forceRedirectUrl=/dashboard)</t>
  </si>
  <si>
    <t xml:space="preserve">ZUSTAND STORES</t>
  </si>
  <si>
    <t xml:space="preserve">Store</t>
  </si>
  <si>
    <t xml:space="preserve">File</t>
  </si>
  <si>
    <t xml:space="preserve">Persistence</t>
  </si>
  <si>
    <t xml:space="preserve">Key State Fields</t>
  </si>
  <si>
    <t xml:space="preserve">Consumers</t>
  </si>
  <si>
    <t xml:space="preserve">uploadStore</t>
  </si>
  <si>
    <t xml:space="preserve">lib/uploadStore.ts</t>
  </si>
  <si>
    <t xml:space="preserve">sessionStorage</t>
  </si>
  <si>
    <t xml:space="preserve">files[], context{}, detectedMarket, detectedBroker, analysisState</t>
  </si>
  <si>
    <t xml:space="preserve">Dropzone, FileChips, AutoDetectBar, AnalyseButton</t>
  </si>
  <si>
    <t xml:space="preserve">analysisStore</t>
  </si>
  <si>
    <t xml:space="preserve">lib/analysisStore.ts</t>
  </si>
  <si>
    <t xml:space="preserve">trades[], analysis{}, metadata{}, kpis{}, isLoading, error</t>
  </si>
  <si>
    <t xml:space="preserve">AnalyseButton, all results/ components</t>
  </si>
  <si>
    <t xml:space="preserve">planStore</t>
  </si>
  <si>
    <t xml:space="preserve">lib/planStore.ts</t>
  </si>
  <si>
    <t xml:space="preserve">plan (free|single|pro_monthly|pro_yearly)</t>
  </si>
  <si>
    <t xml:space="preserve">PaywallGate, PlanGate, Navbar, upload/page</t>
  </si>
  <si>
    <t xml:space="preserve">Component</t>
  </si>
  <si>
    <t xml:space="preserve">Lines</t>
  </si>
  <si>
    <t xml:space="preserve">Folder</t>
  </si>
  <si>
    <t xml:space="preserve">Description</t>
  </si>
  <si>
    <t xml:space="preserve">Dropzone</t>
  </si>
  <si>
    <t xml:space="preserve">upload/</t>
  </si>
  <si>
    <t xml:space="preserve">File upload with format/size validation</t>
  </si>
  <si>
    <t xml:space="preserve">FileChips</t>
  </si>
  <si>
    <t xml:space="preserve">Uploaded file list with remove buttons</t>
  </si>
  <si>
    <t xml:space="preserve">AutoDetectBar</t>
  </si>
  <si>
    <t xml:space="preserve">Market/broker auto-detection badge</t>
  </si>
  <si>
    <t xml:space="preserve">AnalyseButton</t>
  </si>
  <si>
    <t xml:space="preserve">Analysis trigger with progress bar + error handling</t>
  </si>
  <si>
    <t xml:space="preserve">TradingContext</t>
  </si>
  <si>
    <t xml:space="preserve">Pre-analysis context form (8 fields)</t>
  </si>
  <si>
    <t xml:space="preserve">KPIStrip</t>
  </si>
  <si>
    <t xml:space="preserve">results/</t>
  </si>
  <si>
    <t xml:space="preserve">Win/loss/P&amp;L KPI cards</t>
  </si>
  <si>
    <t xml:space="preserve">SessionSummary</t>
  </si>
  <si>
    <t xml:space="preserve">AI-generated session narrative</t>
  </si>
  <si>
    <t xml:space="preserve">MomentumIndicators</t>
  </si>
  <si>
    <t xml:space="preserve">4-factor momentum gauges</t>
  </si>
  <si>
    <t xml:space="preserve">ViciousCycle</t>
  </si>
  <si>
    <t xml:space="preserve">10-stage cycle visualization</t>
  </si>
  <si>
    <t xml:space="preserve">TechnicalInsights</t>
  </si>
  <si>
    <t xml:space="preserve">4-factor technical scores</t>
  </si>
  <si>
    <t xml:space="preserve">TradeDetail</t>
  </si>
  <si>
    <t xml:space="preserve">Per-trade analysis with coaching</t>
  </si>
  <si>
    <t xml:space="preserve">TradeSidebar</t>
  </si>
  <si>
    <t xml:space="preserve">Trade list sidebar with tags</t>
  </si>
  <si>
    <t xml:space="preserve">EquityCurve</t>
  </si>
  <si>
    <t xml:space="preserve">Equity curve chart</t>
  </si>
  <si>
    <t xml:space="preserve">PaywallGate</t>
  </si>
  <si>
    <t xml:space="preserve">Paywall for &gt;3 trades</t>
  </si>
  <si>
    <t xml:space="preserve">TradeSaathScore</t>
  </si>
  <si>
    <t xml:space="preserve">dashboard/</t>
  </si>
  <si>
    <t xml:space="preserve">Overall discipline score</t>
  </si>
  <si>
    <t xml:space="preserve">PreMarketCheckin</t>
  </si>
  <si>
    <t xml:space="preserve">Pre-market preparation checklist</t>
  </si>
  <si>
    <t xml:space="preserve">PerformanceKPIs</t>
  </si>
  <si>
    <t xml:space="preserve">Monthly KPI cards</t>
  </si>
  <si>
    <t xml:space="preserve">DashboardEquityCurve</t>
  </si>
  <si>
    <t xml:space="preserve">Equity curve with streaks/risk</t>
  </si>
  <si>
    <t xml:space="preserve">SummaryCards</t>
  </si>
  <si>
    <t xml:space="preserve">Today/week/month summary</t>
  </si>
  <si>
    <t xml:space="preserve">BehavioralInsights</t>
  </si>
  <si>
    <t xml:space="preserve">Behavioral pattern cards</t>
  </si>
  <si>
    <t xml:space="preserve">GoalTracking</t>
  </si>
  <si>
    <t xml:space="preserve">Trading goal progress</t>
  </si>
  <si>
    <t xml:space="preserve">RecentActivity</t>
  </si>
  <si>
    <t xml:space="preserve">Recent trades &amp; sessions</t>
  </si>
  <si>
    <t xml:space="preserve">PerformanceHeatmap</t>
  </si>
  <si>
    <t xml:space="preserve">Time-of-day performance heatmap</t>
  </si>
  <si>
    <t xml:space="preserve">MistakeCostCalculator</t>
  </si>
  <si>
    <t xml:space="preserve">Mistake cost breakdown</t>
  </si>
  <si>
    <t xml:space="preserve">DecisionQualityScore</t>
  </si>
  <si>
    <t xml:space="preserve">DQS radar visualization</t>
  </si>
  <si>
    <t xml:space="preserve">SessionList</t>
  </si>
  <si>
    <t xml:space="preserve">journal/</t>
  </si>
  <si>
    <t xml:space="preserve">Session list sidebar</t>
  </si>
  <si>
    <t xml:space="preserve">SessionDetail</t>
  </si>
  <si>
    <t xml:space="preserve">Session detail view</t>
  </si>
  <si>
    <t xml:space="preserve">CalendarCard</t>
  </si>
  <si>
    <t xml:space="preserve">Session calendar</t>
  </si>
  <si>
    <t xml:space="preserve">JournalStats</t>
  </si>
  <si>
    <t xml:space="preserve">Journal-level stats</t>
  </si>
  <si>
    <t xml:space="preserve">TradingJourney</t>
  </si>
  <si>
    <t xml:space="preserve">Journey questionnaire (6 steps)</t>
  </si>
  <si>
    <t xml:space="preserve">ChatFAB</t>
  </si>
  <si>
    <t xml:space="preserve">chat/</t>
  </si>
  <si>
    <t xml:space="preserve">Floating action button</t>
  </si>
  <si>
    <t xml:space="preserve">ChatPanel</t>
  </si>
  <si>
    <t xml:space="preserve">Sliding chat panel</t>
  </si>
  <si>
    <t xml:space="preserve">ChatWrapper</t>
  </si>
  <si>
    <t xml:space="preserve">Chat panel mount wrapper</t>
  </si>
  <si>
    <t xml:space="preserve">ErrorBoundary</t>
  </si>
  <si>
    <t xml:space="preserve">ui/</t>
  </si>
  <si>
    <t xml:space="preserve">Reusable error boundary with retry</t>
  </si>
  <si>
    <t xml:space="preserve">Toaster</t>
  </si>
  <si>
    <t xml:space="preserve">Global toast notification system</t>
  </si>
  <si>
    <t xml:space="preserve">Navbar</t>
  </si>
  <si>
    <t xml:space="preserve">root</t>
  </si>
  <si>
    <t xml:space="preserve">Responsive nav with theme toggle</t>
  </si>
  <si>
    <t xml:space="preserve">Hero</t>
  </si>
  <si>
    <t xml:space="preserve">Landing page hero section</t>
  </si>
  <si>
    <t xml:space="preserve">Pricing</t>
  </si>
  <si>
    <t xml:space="preserve">3-tier pricing with Razorpay</t>
  </si>
  <si>
    <t xml:space="preserve">Features</t>
  </si>
  <si>
    <t xml:space="preserve">Feature showcase grid</t>
  </si>
  <si>
    <t xml:space="preserve">FAQ</t>
  </si>
  <si>
    <t xml:space="preserve">Accordion FAQ</t>
  </si>
  <si>
    <t xml:space="preserve">Footer</t>
  </si>
  <si>
    <t xml:space="preserve">Simple footer</t>
  </si>
  <si>
    <t xml:space="preserve">AiChat</t>
  </si>
  <si>
    <t xml:space="preserve">Floating chat FAB + panel</t>
  </si>
  <si>
    <t xml:space="preserve">Onboarding</t>
  </si>
  <si>
    <t xml:space="preserve">3-step onboarding modal</t>
  </si>
  <si>
    <t xml:space="preserve">PlanGate</t>
  </si>
  <si>
    <t xml:space="preserve">Plan-gated feature wrapper</t>
  </si>
  <si>
    <t xml:space="preserve">AuthSync</t>
  </si>
  <si>
    <t xml:space="preserve">Clerk-to-backend sync wrapper</t>
  </si>
  <si>
    <t xml:space="preserve">FLOW 1: File Upload -&gt; Parse -&gt; Analyse -&gt; Display</t>
  </si>
  <si>
    <t xml:space="preserve">Step</t>
  </si>
  <si>
    <t xml:space="preserve">Action</t>
  </si>
  <si>
    <t xml:space="preserve">Implementation</t>
  </si>
  <si>
    <t xml:space="preserve">1</t>
  </si>
  <si>
    <t xml:space="preserve">User drops files into Dropzone</t>
  </si>
  <si>
    <t xml:space="preserve">uploadStore.addFiles()</t>
  </si>
  <si>
    <t xml:space="preserve">2</t>
  </si>
  <si>
    <t xml:space="preserve">Dropzone validates format (PDF/CSV/Excel/image) and size (&lt;10MB)</t>
  </si>
  <si>
    <t xml:space="preserve">showToast.error on failure</t>
  </si>
  <si>
    <t xml:space="preserve">uploadStore detects broker from filename (20 brokers, two-phase)</t>
  </si>
  <si>
    <t xml:space="preserve">detectedBroker set</t>
  </si>
  <si>
    <t xml:space="preserve">4</t>
  </si>
  <si>
    <t xml:space="preserve">User clicks 'Run Free Analysis'</t>
  </si>
  <si>
    <t xml:space="preserve">AnalyseButton.handleAnalyse()</t>
  </si>
  <si>
    <t xml:space="preserve">5</t>
  </si>
  <si>
    <t xml:space="preserve">POST /api/parse for each file (local parsing, no AI)</t>
  </si>
  <si>
    <t xml:space="preserve">trade-parser.ts</t>
  </si>
  <si>
    <t xml:space="preserve">If local parse finds trades: show results immediately</t>
  </si>
  <si>
    <t xml:space="preserve">analysisStore.setAnalysis()</t>
  </si>
  <si>
    <t xml:space="preserve">7</t>
  </si>
  <si>
    <t xml:space="preserve">Background: POST /api/analyse (JSON path) for AI coaching</t>
  </si>
  <si>
    <t xml:space="preserve">callClaude(buildAnalysePrompt)</t>
  </si>
  <si>
    <t xml:space="preserve">AI returns: psychology analysis, per-trade coaching, vicious cycle</t>
  </si>
  <si>
    <t xml:space="preserve">analysisStore updated</t>
  </si>
  <si>
    <t xml:space="preserve">9</t>
  </si>
  <si>
    <t xml:space="preserve">If local parse finds 0 trades: POST /api/analyse (FormData path)</t>
  </si>
  <si>
    <t xml:space="preserve">callClaude(buildExtractPrompt)</t>
  </si>
  <si>
    <t xml:space="preserve">10</t>
  </si>
  <si>
    <t xml:space="preserve">Supabase save (non-blocking): trade_sessions, trade_analysis, raw_files</t>
  </si>
  <si>
    <t xml:space="preserve">Service role key</t>
  </si>
  <si>
    <t xml:space="preserve">FLOW 2: Sign Up -&gt; Payment -&gt; Plan Activation</t>
  </si>
  <si>
    <t xml:space="preserve">User clicks Sign Up -&gt; Clerk /sign-up (forceRedirectUrl=/dashboard)</t>
  </si>
  <si>
    <t xml:space="preserve">Clerk webhook fires POST /api/webhooks/clerk -&gt; inserts user to Supabase</t>
  </si>
  <si>
    <t xml:space="preserve">users table</t>
  </si>
  <si>
    <t xml:space="preserve">AuthSync component fires POST /api/auth/sync -&gt; upserts user, migrates anon data</t>
  </si>
  <si>
    <t xml:space="preserve">migrateAnonToUser()</t>
  </si>
  <si>
    <t xml:space="preserve">User on /dashboard sees 'Free Plan' banner</t>
  </si>
  <si>
    <t xml:space="preserve">usePlan hook</t>
  </si>
  <si>
    <t xml:space="preserve">User clicks plan -&gt; useRazorpay.pay() loads Razorpay script</t>
  </si>
  <si>
    <t xml:space="preserve">loadRazorpayScript()</t>
  </si>
  <si>
    <t xml:space="preserve">POST /api/payments/create-order creates Razorpay order (99/799/499 INR)</t>
  </si>
  <si>
    <t xml:space="preserve">Razorpay API</t>
  </si>
  <si>
    <t xml:space="preserve">Razorpay modal opens -&gt; user completes payment</t>
  </si>
  <si>
    <t xml:space="preserve">POST /api/payments/verify verifies HMAC-SHA256 signature</t>
  </si>
  <si>
    <t xml:space="preserve">crypto.createHmac()</t>
  </si>
  <si>
    <t xml:space="preserve">Supabase: update payment status, upsert user_plans with expiry</t>
  </si>
  <si>
    <t xml:space="preserve">user_plans table</t>
  </si>
  <si>
    <t xml:space="preserve">planStore.setPlan() -&gt; PaywallGate disappears -&gt; full trades unlocked</t>
  </si>
  <si>
    <t xml:space="preserve">Frontend update</t>
  </si>
  <si>
    <t xml:space="preserve">FLOW 3: Anonymous User -&gt; Sign Up -&gt; Data Migration</t>
  </si>
  <si>
    <t xml:space="preserve">Anonymous user visits /upload</t>
  </si>
  <si>
    <t xml:space="preserve">No auth required</t>
  </si>
  <si>
    <t xml:space="preserve">First API call creates cookie: tradesaath_anon_id (UUID, 1-year, HttpOnly)</t>
  </si>
  <si>
    <t xml:space="preserve">lib/anonId.ts</t>
  </si>
  <si>
    <t xml:space="preserve">User uploads + analyses trades -&gt; saved with anon_id (no user_id)</t>
  </si>
  <si>
    <t xml:space="preserve">trade_sessions, trade_analysis, raw_files</t>
  </si>
  <si>
    <t xml:space="preserve">User clicks Sign Up -&gt; Clerk account created</t>
  </si>
  <si>
    <t xml:space="preserve">POST /api/auth/sync reads anon cookie -&gt; calls migrateAnonToUser()</t>
  </si>
  <si>
    <t xml:space="preserve">migrateAnonData.ts</t>
  </si>
  <si>
    <t xml:space="preserve">UPDATE trade_sessions SET user_id=X, anon_id=NULL WHERE anon_id=Y</t>
  </si>
  <si>
    <t xml:space="preserve">Bulk update</t>
  </si>
  <si>
    <t xml:space="preserve">UPDATE trade_analysis SET anon_id=NULL WHERE anon_id=Y</t>
  </si>
  <si>
    <t xml:space="preserve">UPDATE raw_files SET user_id=X, anon_id=NULL WHERE anon_id=Y</t>
  </si>
  <si>
    <t xml:space="preserve">Anon cookie cleared</t>
  </si>
  <si>
    <t xml:space="preserve">Response cookie</t>
  </si>
  <si>
    <t xml:space="preserve">All previous data now linked to authenticated user</t>
  </si>
  <si>
    <t xml:space="preserve">Seamless migration</t>
  </si>
  <si>
    <t xml:space="preserve">FLOW 4: Dashboard Data Loading</t>
  </si>
  <si>
    <t xml:space="preserve">User navigates to /dashboard</t>
  </si>
  <si>
    <t xml:space="preserve">middleware checks auth</t>
  </si>
  <si>
    <t xml:space="preserve">useEffect: if \!isSignedIn, redirect to /sign-in</t>
  </si>
  <si>
    <t xml:space="preserve">Clerk auth check</t>
  </si>
  <si>
    <t xml:space="preserve">fetch('/api/dashboard/stats')</t>
  </si>
  <si>
    <t xml:space="preserve">GET request</t>
  </si>
  <si>
    <t xml:space="preserve">Clerk auth() gets userId -&gt; query trade_sessions WHERE user_id = X</t>
  </si>
  <si>
    <t xml:space="preserve">Filter sessions by month/week/today dates</t>
  </si>
  <si>
    <t xml:space="preserve">Date math</t>
  </si>
  <si>
    <t xml:space="preserve">Compute KPIs: net_pnl, wins, losses, win_rate, profit_factor, streaks</t>
  </si>
  <si>
    <t xml:space="preserve">Server aggregation</t>
  </si>
  <si>
    <t xml:space="preserve">Query trade_analysis for last 5 sessions -&gt; build mistake breakdown</t>
  </si>
  <si>
    <t xml:space="preserve">Tag-based costs</t>
  </si>
  <si>
    <t xml:space="preserve">Build heatmap data (time-of-day with trading hour fallback)</t>
  </si>
  <si>
    <t xml:space="preserve">tradingSlots array</t>
  </si>
  <si>
    <t xml:space="preserve">Compute DQS score and factors</t>
  </si>
  <si>
    <t xml:space="preserve">Weighted scoring</t>
  </si>
  <si>
    <t xml:space="preserve">Return DashStats -&gt; components render with ErrorBoundary wrapping</t>
  </si>
  <si>
    <t xml:space="preserve">11 dashboard components</t>
  </si>
  <si>
    <t xml:space="preserve">Environment Variable</t>
  </si>
  <si>
    <t xml:space="preserve">Required</t>
  </si>
  <si>
    <t xml:space="preserve">NEXT_PUBLIC_CLERK_PUBLISHABLE_KEY</t>
  </si>
  <si>
    <t xml:space="preserve">Clerk publishable key (client-side)</t>
  </si>
  <si>
    <t xml:space="preserve">CLERK_SECRET_KEY</t>
  </si>
  <si>
    <t xml:space="preserve">Clerk secret key (server-side)</t>
  </si>
  <si>
    <t xml:space="preserve">CLERK_WEBHOOK_SECRET</t>
  </si>
  <si>
    <t xml:space="preserve">Svix webhook secret for user.created events</t>
  </si>
  <si>
    <t xml:space="preserve">NEXT_PUBLIC_SUPABASE_URL</t>
  </si>
  <si>
    <t xml:space="preserve">Supabase project URL</t>
  </si>
  <si>
    <t xml:space="preserve">NEXT_PUBLIC_SUPABASE_ANON_KEY</t>
  </si>
  <si>
    <t xml:space="preserve">Supabase anon key (respects RLS)</t>
  </si>
  <si>
    <t xml:space="preserve">SUPABASE_SERVICE_ROLE_KEY</t>
  </si>
  <si>
    <t xml:space="preserve">Supabase service role key (bypasses RLS)</t>
  </si>
  <si>
    <t xml:space="preserve">ANTHROPIC_API_KEY</t>
  </si>
  <si>
    <t xml:space="preserve">Claude API key for trade analysis + coaching</t>
  </si>
  <si>
    <t xml:space="preserve">RAZORPAY_KEY_ID</t>
  </si>
  <si>
    <t xml:space="preserve">Razorpay key ID (server-side)</t>
  </si>
  <si>
    <t xml:space="preserve">RAZORPAY_KEY_SECRET</t>
  </si>
  <si>
    <t xml:space="preserve">Razorpay key secret (server-side)</t>
  </si>
  <si>
    <t xml:space="preserve">NEXT_PUBLIC_RAZORPAY_KEY_ID</t>
  </si>
  <si>
    <t xml:space="preserve">Razorpay key ID (client-side, checkout modal)</t>
  </si>
  <si>
    <t xml:space="preserve">GEMINI_API_KEY</t>
  </si>
  <si>
    <t xml:space="preserve">Google Gemini key (health check only)</t>
  </si>
  <si>
    <t xml:space="preserve">MIDDLEWARE ROUTE CONFIGURATION</t>
  </si>
  <si>
    <t xml:space="preserve">Access</t>
  </si>
  <si>
    <t xml:space="preserve">Public</t>
  </si>
  <si>
    <t xml:space="preserve">Redirects to /dashboard if authenticated</t>
  </si>
  <si>
    <t xml:space="preserve">Free tier analysis</t>
  </si>
  <si>
    <t xml:space="preserve">/results</t>
  </si>
  <si>
    <t xml:space="preserve">Legacy redirect</t>
  </si>
  <si>
    <t xml:space="preserve">Pricing plans</t>
  </si>
  <si>
    <t xml:space="preserve">/sign-in, /sign-up</t>
  </si>
  <si>
    <t xml:space="preserve">forceRedirectUrl=/dashboard</t>
  </si>
  <si>
    <t xml:space="preserve">/api/parse, /api/analyse, /api/extract</t>
  </si>
  <si>
    <t xml:space="preserve">Anonymous analysis allowed</t>
  </si>
  <si>
    <t xml:space="preserve">/api/health, /api/sessions</t>
  </si>
  <si>
    <t xml:space="preserve">/api/user/plan, /api/payments/*</t>
  </si>
  <si>
    <t xml:space="preserve">Plan checks + payments</t>
  </si>
  <si>
    <t xml:space="preserve">Protected</t>
  </si>
  <si>
    <t xml:space="preserve">Requires Clerk auth</t>
  </si>
  <si>
    <t xml:space="preserve">Requires Clerk auth + paid plan</t>
  </si>
  <si>
    <t xml:space="preserve">Requires Clerk auth + Pro plan</t>
  </si>
  <si>
    <t xml:space="preserve">Pro plan required</t>
  </si>
  <si>
    <t xml:space="preserve">/api/coach, /api/dashboard/stats</t>
  </si>
  <si>
    <t xml:space="preserve">Auth required</t>
  </si>
  <si>
    <t xml:space="preserve">File Path</t>
  </si>
  <si>
    <t xml:space="preserve">Should Split?</t>
  </si>
  <si>
    <t xml:space="preserve">Reason</t>
  </si>
  <si>
    <t xml:space="preserve">lib/trade-parser.ts</t>
  </si>
  <si>
    <t xml:space="preserve">Split into CSV, Excel, PDF, broker-detection modules</t>
  </si>
  <si>
    <t xml:space="preserve">app/api/analyse/route.ts</t>
  </si>
  <si>
    <t xml:space="preserve">Two-call architecture is cohesive</t>
  </si>
  <si>
    <t xml:space="preserve">lib/parsers/universalParser.ts</t>
  </si>
  <si>
    <t xml:space="preserve">Broker lists should be shared with trade-parser</t>
  </si>
  <si>
    <t xml:space="preserve">app/coach/page.tsx</t>
  </si>
  <si>
    <t xml:space="preserve">Extract tab content into sub-components</t>
  </si>
  <si>
    <t xml:space="preserve">app/api/dashboard/stats/route.ts</t>
  </si>
  <si>
    <t xml:space="preserve">Maybe</t>
  </si>
  <si>
    <t xml:space="preserve">Extract aggregation helpers</t>
  </si>
  <si>
    <t xml:space="preserve">components/results/TradeDetail.tsx</t>
  </si>
  <si>
    <t xml:space="preserve">Extract tag styling, note editor</t>
  </si>
  <si>
    <t xml:space="preserve">app/api/coach/route.ts</t>
  </si>
  <si>
    <t xml:space="preserve">Prompt templates are necessarily long</t>
  </si>
  <si>
    <t xml:space="preserve">components/AiChat.tsx</t>
  </si>
  <si>
    <t xml:space="preserve">Consolidate with ChatPanel.tsx</t>
  </si>
  <si>
    <t xml:space="preserve">components/chat/ChatPanel.tsx</t>
  </si>
  <si>
    <t xml:space="preserve">Merge with AiChat.tsx</t>
  </si>
  <si>
    <t xml:space="preserve">components/upload/AnalyseButton.tsx</t>
  </si>
  <si>
    <t xml:space="preserve">Error handling makes it large</t>
  </si>
  <si>
    <t xml:space="preserve">app/journal/page.tsx</t>
  </si>
  <si>
    <t xml:space="preserve">Extract pattern detection logic</t>
  </si>
  <si>
    <t xml:space="preserve">components/Navbar.tsx</t>
  </si>
  <si>
    <t xml:space="preserve">Responsive nav is naturally complex</t>
  </si>
  <si>
    <t xml:space="preserve">components/journal/SessionDetail.tsx</t>
  </si>
  <si>
    <t xml:space="preserve">Single component responsibility</t>
  </si>
  <si>
    <t xml:space="preserve">app/api/extract/route.ts</t>
  </si>
  <si>
    <t xml:space="preserve">Could share code with analyse route</t>
  </si>
  <si>
    <t xml:space="preserve">app/dashboard/page.tsx</t>
  </si>
  <si>
    <t xml:space="preserve">Composition of dashboard components</t>
  </si>
  <si>
    <t xml:space="preserve">TOTAL LINES</t>
  </si>
  <si>
    <t xml:space="preserve">#</t>
  </si>
  <si>
    <t xml:space="preserve">Category</t>
  </si>
  <si>
    <t xml:space="preserve">Issue</t>
  </si>
  <si>
    <t xml:space="preserve">Severity</t>
  </si>
  <si>
    <t xml:space="preserve">Architecture</t>
  </si>
  <si>
    <t xml:space="preserve">Duplicate session tables: trade_sessions (primary) + sessions (legacy). Should consolidate.</t>
  </si>
  <si>
    <t xml:space="preserve">Medium</t>
  </si>
  <si>
    <t xml:space="preserve">Three overlapping plan hooks: useUserPlan, usePlan, planStore. Should unify.</t>
  </si>
  <si>
    <t xml:space="preserve">Duplicate chat components: AiChat (267 lines) + ChatPanel (264 lines). Should merge.</t>
  </si>
  <si>
    <t xml:space="preserve">Low</t>
  </si>
  <si>
    <t xml:space="preserve">Code Size</t>
  </si>
  <si>
    <t xml:space="preserve">trade-parser.ts at 980 lines. Should split into CSV, Excel, PDF, broker modules.</t>
  </si>
  <si>
    <t xml:space="preserve">Duplicate broker detection in universalParser.ts (client) and trade-parser.ts (server).</t>
  </si>
  <si>
    <t xml:space="preserve">Security</t>
  </si>
  <si>
    <t xml:space="preserve">No API rate limiting on /api/analyse, /api/parse, /api/extract. Users can hammer Claude API.</t>
  </si>
  <si>
    <t xml:space="preserve">High</t>
  </si>
  <si>
    <t xml:space="preserve">create-order/route.ts logs partial Razorpay key IDs to console.</t>
  </si>
  <si>
    <t xml:space="preserve">Performance</t>
  </si>
  <si>
    <t xml:space="preserve">No caching on /api/dashboard/stats. Queries all sessions on every page load.</t>
  </si>
  <si>
    <t xml:space="preserve">Sequential file parsing in AnalyseButton (for...of). Could parallelize.</t>
  </si>
  <si>
    <t xml:space="preserve">Journal endpoint fetches 50 sessions with full JSONB. No pagination.</t>
  </si>
  <si>
    <t xml:space="preserve">Config</t>
  </si>
  <si>
    <t xml:space="preserve">Hardcoded pricing (99/799/499 INR) in both API route and Pricing component.</t>
  </si>
  <si>
    <t xml:space="preserve">Unused Code</t>
  </si>
  <si>
    <t xml:space="preserve">@anthropic-ai/sdk in package.json but all Claude calls use raw fetch(). SDK unused.</t>
  </si>
  <si>
    <t xml:space="preserve">upload-v2/page.tsx exists but isn't linked from navigation.</t>
  </si>
  <si>
    <t xml:space="preserve">Build</t>
  </si>
  <si>
    <t xml:space="preserve">TypeScript errors ignored during build (ignoreBuildErrors: true).</t>
  </si>
  <si>
    <t xml:space="preserve">ESLint ignored during build (ignoreDuringBuilds: true).</t>
  </si>
  <si>
    <t xml:space="preserve">29 eslint-disable comments across 10 files (mostly @typescript-eslint/no-explicit-any).</t>
  </si>
  <si>
    <t xml:space="preserve">No automated migration runner. SQL migrations applied manually.</t>
  </si>
  <si>
    <t xml:space="preserve">Monitoring</t>
  </si>
  <si>
    <t xml:space="preserve">No error tracking (Sentry, Rollbar). Errors only logged to Vercel console.</t>
  </si>
  <si>
    <t xml:space="preserve">SUMMARY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</si>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</sst>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0"/>
      <color rgb="FF66666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D6E4F0"/>
        <bgColor rgb="FFD0D0D0"/>
      </patternFill>
    </fill>
    <fill>
      <patternFill patternType="solid">
        <fgColor rgb="FFFFF3E0"/>
        <bgColor rgb="FFFFEBEE"/>
      </patternFill>
    </fill>
    <fill>
      <patternFill patternType="solid">
        <fgColor rgb="FFFFEBEE"/>
        <bgColor rgb="FFFFF3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D6E4F0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9.7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 t="s">
        <v>14</v>
      </c>
      <c r="B10" s="4" t="s">
        <v>15</v>
      </c>
    </row>
    <row r="11" customFormat="false" ht="1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4" t="s">
        <v>25</v>
      </c>
    </row>
    <row r="16" customFormat="false" ht="15" hidden="false" customHeight="false" outlineLevel="0" collapsed="false">
      <c r="A16" s="3" t="s">
        <v>26</v>
      </c>
      <c r="B16" s="4" t="s">
        <v>27</v>
      </c>
    </row>
    <row r="17" customFormat="false" ht="15" hidden="false" customHeight="false" outlineLevel="0" collapsed="false">
      <c r="A17" s="3" t="s">
        <v>28</v>
      </c>
      <c r="B17" s="4" t="s">
        <v>29</v>
      </c>
    </row>
    <row r="18" customFormat="false" ht="15" hidden="false" customHeight="false" outlineLevel="0" collapsed="false">
      <c r="A18" s="3" t="s">
        <v>30</v>
      </c>
      <c r="B18" s="4" t="s">
        <v>31</v>
      </c>
    </row>
    <row r="19" customFormat="false" ht="15" hidden="false" customHeight="false" outlineLevel="0" collapsed="false">
      <c r="A19" s="3" t="s">
        <v>32</v>
      </c>
      <c r="B19" s="4" t="s">
        <v>33</v>
      </c>
    </row>
    <row r="20" customFormat="false" ht="15" hidden="false" customHeight="false" outlineLevel="0" collapsed="false">
      <c r="A20" s="3" t="s">
        <v>34</v>
      </c>
      <c r="B20" s="4" t="s">
        <v>35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15" hidden="false" customHeight="false" outlineLevel="0" collapsed="false">
      <c r="A1" s="5" t="s">
        <v>36</v>
      </c>
      <c r="B1" s="5" t="s">
        <v>6</v>
      </c>
      <c r="C1" s="5" t="s">
        <v>37</v>
      </c>
    </row>
    <row r="2" customFormat="false" ht="15" hidden="false" customHeight="false" outlineLevel="0" collapsed="false">
      <c r="A2" s="6" t="s">
        <v>38</v>
      </c>
      <c r="B2" s="6" t="s">
        <v>39</v>
      </c>
      <c r="C2" s="6" t="s">
        <v>40</v>
      </c>
    </row>
    <row r="3" customFormat="false" ht="15" hidden="false" customHeight="false" outlineLevel="0" collapsed="false">
      <c r="A3" s="6" t="s">
        <v>41</v>
      </c>
      <c r="B3" s="6" t="s">
        <v>42</v>
      </c>
      <c r="C3" s="6" t="s">
        <v>43</v>
      </c>
    </row>
    <row r="4" customFormat="false" ht="15" hidden="false" customHeight="false" outlineLevel="0" collapsed="false">
      <c r="A4" s="6" t="s">
        <v>44</v>
      </c>
      <c r="B4" s="6" t="s">
        <v>45</v>
      </c>
      <c r="C4" s="6" t="s">
        <v>46</v>
      </c>
    </row>
    <row r="5" customFormat="false" ht="15" hidden="false" customHeight="false" outlineLevel="0" collapsed="false">
      <c r="A5" s="6" t="s">
        <v>47</v>
      </c>
      <c r="B5" s="6" t="s">
        <v>48</v>
      </c>
      <c r="C5" s="6" t="s">
        <v>49</v>
      </c>
    </row>
    <row r="6" customFormat="false" ht="23.85" hidden="false" customHeight="false" outlineLevel="0" collapsed="false">
      <c r="A6" s="6" t="s">
        <v>50</v>
      </c>
      <c r="B6" s="6" t="s">
        <v>51</v>
      </c>
      <c r="C6" s="6" t="s">
        <v>52</v>
      </c>
    </row>
    <row r="7" customFormat="false" ht="15" hidden="false" customHeight="false" outlineLevel="0" collapsed="false">
      <c r="A7" s="6" t="s">
        <v>53</v>
      </c>
      <c r="B7" s="6" t="s">
        <v>54</v>
      </c>
      <c r="C7" s="6" t="s">
        <v>55</v>
      </c>
    </row>
    <row r="8" customFormat="false" ht="15" hidden="false" customHeight="false" outlineLevel="0" collapsed="false">
      <c r="A8" s="6" t="s">
        <v>56</v>
      </c>
      <c r="B8" s="6" t="s">
        <v>57</v>
      </c>
      <c r="C8" s="6" t="s">
        <v>58</v>
      </c>
    </row>
    <row r="9" customFormat="false" ht="15" hidden="false" customHeight="false" outlineLevel="0" collapsed="false">
      <c r="A9" s="6" t="s">
        <v>59</v>
      </c>
      <c r="B9" s="6" t="s">
        <v>60</v>
      </c>
      <c r="C9" s="6" t="s">
        <v>61</v>
      </c>
    </row>
    <row r="10" customFormat="false" ht="15" hidden="false" customHeight="false" outlineLevel="0" collapsed="false">
      <c r="A10" s="6" t="s">
        <v>62</v>
      </c>
      <c r="B10" s="6" t="s">
        <v>63</v>
      </c>
      <c r="C10" s="6" t="s">
        <v>64</v>
      </c>
    </row>
    <row r="11" customFormat="false" ht="15" hidden="false" customHeight="false" outlineLevel="0" collapsed="false">
      <c r="A11" s="6" t="s">
        <v>65</v>
      </c>
      <c r="B11" s="6" t="s">
        <v>66</v>
      </c>
      <c r="C11" s="6" t="s">
        <v>67</v>
      </c>
    </row>
    <row r="12" customFormat="false" ht="15" hidden="false" customHeight="false" outlineLevel="0" collapsed="false">
      <c r="A12" s="6" t="s">
        <v>68</v>
      </c>
      <c r="B12" s="6" t="s">
        <v>69</v>
      </c>
      <c r="C12" s="6" t="s">
        <v>70</v>
      </c>
    </row>
    <row r="13" customFormat="false" ht="15" hidden="false" customHeight="false" outlineLevel="0" collapsed="false">
      <c r="A13" s="6" t="s">
        <v>71</v>
      </c>
      <c r="B13" s="6" t="s">
        <v>72</v>
      </c>
      <c r="C13" s="6" t="s">
        <v>73</v>
      </c>
    </row>
    <row r="14" customFormat="false" ht="15" hidden="false" customHeight="false" outlineLevel="0" collapsed="false">
      <c r="A14" s="6" t="s">
        <v>74</v>
      </c>
      <c r="B14" s="6" t="s">
        <v>75</v>
      </c>
      <c r="C14" s="6" t="s">
        <v>76</v>
      </c>
    </row>
    <row r="15" customFormat="false" ht="15" hidden="false" customHeight="false" outlineLevel="0" collapsed="false">
      <c r="A15" s="6" t="s">
        <v>77</v>
      </c>
      <c r="B15" s="6" t="s">
        <v>78</v>
      </c>
      <c r="C15" s="6" t="s">
        <v>79</v>
      </c>
    </row>
    <row r="16" customFormat="false" ht="15" hidden="false" customHeight="false" outlineLevel="0" collapsed="false">
      <c r="A16" s="6" t="s">
        <v>80</v>
      </c>
      <c r="B16" s="6" t="s">
        <v>81</v>
      </c>
      <c r="C16" s="6" t="s">
        <v>82</v>
      </c>
    </row>
    <row r="17" customFormat="false" ht="15" hidden="false" customHeight="false" outlineLevel="0" collapsed="false">
      <c r="A17" s="6" t="s">
        <v>83</v>
      </c>
      <c r="B17" s="6" t="s">
        <v>84</v>
      </c>
      <c r="C17" s="6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35"/>
  </cols>
  <sheetData>
    <row r="1" customFormat="false" ht="15" hidden="false" customHeight="false" outlineLevel="0" collapsed="false">
      <c r="A1" s="5" t="s">
        <v>86</v>
      </c>
      <c r="B1" s="5" t="s">
        <v>87</v>
      </c>
      <c r="C1" s="5" t="s">
        <v>88</v>
      </c>
      <c r="D1" s="5" t="s">
        <v>89</v>
      </c>
    </row>
    <row r="2" customFormat="false" ht="15" hidden="false" customHeight="false" outlineLevel="0" collapsed="false">
      <c r="A2" s="7" t="s">
        <v>90</v>
      </c>
      <c r="B2" s="7"/>
      <c r="C2" s="7"/>
      <c r="D2" s="7"/>
    </row>
    <row r="3" customFormat="false" ht="35.05" hidden="false" customHeight="false" outlineLevel="0" collapsed="false">
      <c r="A3" s="6" t="s">
        <v>91</v>
      </c>
      <c r="B3" s="6" t="s">
        <v>92</v>
      </c>
      <c r="C3" s="6" t="s">
        <v>93</v>
      </c>
      <c r="D3" s="6"/>
    </row>
    <row r="4" customFormat="false" ht="15" hidden="false" customHeight="false" outlineLevel="0" collapsed="false">
      <c r="A4" s="6" t="s">
        <v>94</v>
      </c>
      <c r="B4" s="6" t="s">
        <v>95</v>
      </c>
      <c r="C4" s="6" t="s">
        <v>96</v>
      </c>
      <c r="D4" s="6"/>
    </row>
    <row r="5" customFormat="false" ht="15" hidden="false" customHeight="false" outlineLevel="0" collapsed="false">
      <c r="A5" s="6" t="s">
        <v>97</v>
      </c>
      <c r="B5" s="6" t="s">
        <v>95</v>
      </c>
      <c r="C5" s="6" t="s">
        <v>98</v>
      </c>
      <c r="D5" s="6"/>
    </row>
    <row r="6" customFormat="false" ht="15" hidden="false" customHeight="false" outlineLevel="0" collapsed="false">
      <c r="A6" s="6" t="s">
        <v>99</v>
      </c>
      <c r="B6" s="6" t="s">
        <v>95</v>
      </c>
      <c r="C6" s="6" t="s">
        <v>100</v>
      </c>
      <c r="D6" s="6" t="s">
        <v>101</v>
      </c>
    </row>
    <row r="7" customFormat="false" ht="23.85" hidden="false" customHeight="false" outlineLevel="0" collapsed="false">
      <c r="A7" s="6" t="s">
        <v>102</v>
      </c>
      <c r="B7" s="6" t="s">
        <v>95</v>
      </c>
      <c r="C7" s="6" t="s">
        <v>103</v>
      </c>
      <c r="D7" s="6" t="s">
        <v>104</v>
      </c>
    </row>
    <row r="8" customFormat="false" ht="15" hidden="false" customHeight="false" outlineLevel="0" collapsed="false">
      <c r="A8" s="6" t="s">
        <v>105</v>
      </c>
      <c r="B8" s="6" t="s">
        <v>106</v>
      </c>
      <c r="C8" s="6" t="s">
        <v>107</v>
      </c>
      <c r="D8" s="6"/>
    </row>
    <row r="10" customFormat="false" ht="15" hidden="false" customHeight="false" outlineLevel="0" collapsed="false">
      <c r="A10" s="7" t="s">
        <v>108</v>
      </c>
      <c r="B10" s="7"/>
      <c r="C10" s="7"/>
      <c r="D10" s="7"/>
    </row>
    <row r="11" customFormat="false" ht="15" hidden="false" customHeight="false" outlineLevel="0" collapsed="false">
      <c r="A11" s="6" t="s">
        <v>91</v>
      </c>
      <c r="B11" s="6" t="s">
        <v>92</v>
      </c>
      <c r="C11" s="6" t="s">
        <v>109</v>
      </c>
      <c r="D11" s="6"/>
    </row>
    <row r="12" customFormat="false" ht="15" hidden="false" customHeight="false" outlineLevel="0" collapsed="false">
      <c r="A12" s="6" t="s">
        <v>110</v>
      </c>
      <c r="B12" s="6" t="s">
        <v>95</v>
      </c>
      <c r="C12" s="6" t="s">
        <v>98</v>
      </c>
      <c r="D12" s="6" t="s">
        <v>111</v>
      </c>
    </row>
    <row r="13" customFormat="false" ht="15" hidden="false" customHeight="false" outlineLevel="0" collapsed="false">
      <c r="A13" s="6" t="s">
        <v>112</v>
      </c>
      <c r="B13" s="6" t="s">
        <v>95</v>
      </c>
      <c r="C13" s="6" t="s">
        <v>98</v>
      </c>
      <c r="D13" s="6" t="s">
        <v>113</v>
      </c>
    </row>
    <row r="14" customFormat="false" ht="23.85" hidden="false" customHeight="false" outlineLevel="0" collapsed="false">
      <c r="A14" s="6" t="s">
        <v>114</v>
      </c>
      <c r="B14" s="6" t="s">
        <v>95</v>
      </c>
      <c r="C14" s="6" t="s">
        <v>103</v>
      </c>
      <c r="D14" s="6" t="s">
        <v>115</v>
      </c>
    </row>
    <row r="15" customFormat="false" ht="15" hidden="false" customHeight="false" outlineLevel="0" collapsed="false">
      <c r="A15" s="6" t="s">
        <v>116</v>
      </c>
      <c r="B15" s="6" t="s">
        <v>95</v>
      </c>
      <c r="C15" s="6" t="s">
        <v>96</v>
      </c>
      <c r="D15" s="6"/>
    </row>
    <row r="16" customFormat="false" ht="15" hidden="false" customHeight="false" outlineLevel="0" collapsed="false">
      <c r="A16" s="6" t="s">
        <v>117</v>
      </c>
      <c r="B16" s="6" t="s">
        <v>95</v>
      </c>
      <c r="C16" s="6" t="s">
        <v>98</v>
      </c>
      <c r="D16" s="6"/>
    </row>
    <row r="17" customFormat="false" ht="15" hidden="false" customHeight="false" outlineLevel="0" collapsed="false">
      <c r="A17" s="6" t="s">
        <v>118</v>
      </c>
      <c r="B17" s="6" t="s">
        <v>119</v>
      </c>
      <c r="C17" s="6" t="s">
        <v>98</v>
      </c>
      <c r="D17" s="6"/>
    </row>
    <row r="18" customFormat="false" ht="15" hidden="false" customHeight="false" outlineLevel="0" collapsed="false">
      <c r="A18" s="6" t="s">
        <v>120</v>
      </c>
      <c r="B18" s="6" t="s">
        <v>95</v>
      </c>
      <c r="C18" s="6" t="s">
        <v>98</v>
      </c>
      <c r="D18" s="6" t="s">
        <v>121</v>
      </c>
    </row>
    <row r="19" customFormat="false" ht="15" hidden="false" customHeight="false" outlineLevel="0" collapsed="false">
      <c r="A19" s="6" t="s">
        <v>122</v>
      </c>
      <c r="B19" s="6" t="s">
        <v>95</v>
      </c>
      <c r="C19" s="6" t="s">
        <v>123</v>
      </c>
      <c r="D19" s="6" t="s">
        <v>124</v>
      </c>
    </row>
    <row r="20" customFormat="false" ht="15" hidden="false" customHeight="false" outlineLevel="0" collapsed="false">
      <c r="A20" s="6" t="s">
        <v>125</v>
      </c>
      <c r="B20" s="6" t="s">
        <v>95</v>
      </c>
      <c r="C20" s="6" t="s">
        <v>98</v>
      </c>
      <c r="D20" s="6" t="s">
        <v>126</v>
      </c>
    </row>
    <row r="21" customFormat="false" ht="15" hidden="false" customHeight="false" outlineLevel="0" collapsed="false">
      <c r="A21" s="6" t="s">
        <v>127</v>
      </c>
      <c r="B21" s="6" t="s">
        <v>128</v>
      </c>
      <c r="C21" s="6" t="s">
        <v>96</v>
      </c>
      <c r="D21" s="6" t="s">
        <v>129</v>
      </c>
    </row>
    <row r="22" customFormat="false" ht="15" hidden="false" customHeight="false" outlineLevel="0" collapsed="false">
      <c r="A22" s="6" t="s">
        <v>130</v>
      </c>
      <c r="B22" s="6" t="s">
        <v>128</v>
      </c>
      <c r="C22" s="6" t="s">
        <v>98</v>
      </c>
      <c r="D22" s="6" t="s">
        <v>131</v>
      </c>
    </row>
    <row r="23" customFormat="false" ht="15" hidden="false" customHeight="false" outlineLevel="0" collapsed="false">
      <c r="A23" s="6" t="s">
        <v>132</v>
      </c>
      <c r="B23" s="6" t="s">
        <v>128</v>
      </c>
      <c r="C23" s="6" t="s">
        <v>98</v>
      </c>
      <c r="D23" s="6" t="s">
        <v>133</v>
      </c>
    </row>
    <row r="24" customFormat="false" ht="15" hidden="false" customHeight="false" outlineLevel="0" collapsed="false">
      <c r="A24" s="6" t="s">
        <v>134</v>
      </c>
      <c r="B24" s="6" t="s">
        <v>135</v>
      </c>
      <c r="C24" s="6" t="s">
        <v>136</v>
      </c>
      <c r="D24" s="6"/>
    </row>
    <row r="25" customFormat="false" ht="15" hidden="false" customHeight="false" outlineLevel="0" collapsed="false">
      <c r="A25" s="6" t="s">
        <v>137</v>
      </c>
      <c r="B25" s="6" t="s">
        <v>138</v>
      </c>
      <c r="C25" s="6" t="s">
        <v>136</v>
      </c>
      <c r="D25" s="6"/>
    </row>
    <row r="26" customFormat="false" ht="15" hidden="false" customHeight="false" outlineLevel="0" collapsed="false">
      <c r="A26" s="6" t="s">
        <v>139</v>
      </c>
      <c r="B26" s="6" t="s">
        <v>135</v>
      </c>
      <c r="C26" s="6" t="s">
        <v>136</v>
      </c>
      <c r="D26" s="6"/>
    </row>
    <row r="27" customFormat="false" ht="15" hidden="false" customHeight="false" outlineLevel="0" collapsed="false">
      <c r="A27" s="6" t="s">
        <v>140</v>
      </c>
      <c r="B27" s="6" t="s">
        <v>138</v>
      </c>
      <c r="C27" s="6" t="s">
        <v>136</v>
      </c>
      <c r="D27" s="6" t="s">
        <v>141</v>
      </c>
    </row>
    <row r="28" customFormat="false" ht="15" hidden="false" customHeight="false" outlineLevel="0" collapsed="false">
      <c r="A28" s="6" t="s">
        <v>142</v>
      </c>
      <c r="B28" s="6" t="s">
        <v>138</v>
      </c>
      <c r="C28" s="6" t="s">
        <v>136</v>
      </c>
      <c r="D28" s="6"/>
    </row>
    <row r="29" customFormat="false" ht="15" hidden="false" customHeight="false" outlineLevel="0" collapsed="false">
      <c r="A29" s="6" t="s">
        <v>143</v>
      </c>
      <c r="B29" s="6" t="s">
        <v>138</v>
      </c>
      <c r="C29" s="6" t="s">
        <v>136</v>
      </c>
      <c r="D29" s="6"/>
    </row>
    <row r="30" customFormat="false" ht="15" hidden="false" customHeight="false" outlineLevel="0" collapsed="false">
      <c r="A30" s="6" t="s">
        <v>99</v>
      </c>
      <c r="B30" s="6" t="s">
        <v>95</v>
      </c>
      <c r="C30" s="6" t="s">
        <v>100</v>
      </c>
      <c r="D30" s="6" t="s">
        <v>144</v>
      </c>
    </row>
    <row r="31" customFormat="false" ht="15" hidden="false" customHeight="false" outlineLevel="0" collapsed="false">
      <c r="A31" s="6" t="s">
        <v>145</v>
      </c>
      <c r="B31" s="6" t="s">
        <v>95</v>
      </c>
      <c r="C31" s="6" t="s">
        <v>98</v>
      </c>
      <c r="D31" s="6" t="s">
        <v>146</v>
      </c>
    </row>
    <row r="32" customFormat="false" ht="15" hidden="false" customHeight="false" outlineLevel="0" collapsed="false">
      <c r="A32" s="6" t="s">
        <v>147</v>
      </c>
      <c r="B32" s="6" t="s">
        <v>106</v>
      </c>
      <c r="C32" s="6" t="s">
        <v>107</v>
      </c>
      <c r="D32" s="6"/>
    </row>
    <row r="34" customFormat="false" ht="15" hidden="false" customHeight="false" outlineLevel="0" collapsed="false">
      <c r="A34" s="7" t="s">
        <v>148</v>
      </c>
      <c r="B34" s="7"/>
      <c r="C34" s="7"/>
      <c r="D34" s="7"/>
    </row>
    <row r="35" customFormat="false" ht="15" hidden="false" customHeight="false" outlineLevel="0" collapsed="false">
      <c r="A35" s="6" t="s">
        <v>91</v>
      </c>
      <c r="B35" s="6" t="s">
        <v>92</v>
      </c>
      <c r="C35" s="6" t="s">
        <v>109</v>
      </c>
      <c r="D35" s="6"/>
    </row>
    <row r="36" customFormat="false" ht="35.05" hidden="false" customHeight="false" outlineLevel="0" collapsed="false">
      <c r="A36" s="6" t="s">
        <v>149</v>
      </c>
      <c r="B36" s="6" t="s">
        <v>92</v>
      </c>
      <c r="C36" s="6" t="s">
        <v>150</v>
      </c>
      <c r="D36" s="6"/>
    </row>
    <row r="37" customFormat="false" ht="15" hidden="false" customHeight="false" outlineLevel="0" collapsed="false">
      <c r="A37" s="6" t="s">
        <v>151</v>
      </c>
      <c r="B37" s="6" t="s">
        <v>135</v>
      </c>
      <c r="C37" s="6" t="s">
        <v>96</v>
      </c>
      <c r="D37" s="6" t="s">
        <v>152</v>
      </c>
    </row>
    <row r="38" customFormat="false" ht="15" hidden="false" customHeight="false" outlineLevel="0" collapsed="false">
      <c r="A38" s="6" t="s">
        <v>112</v>
      </c>
      <c r="B38" s="6" t="s">
        <v>95</v>
      </c>
      <c r="C38" s="6" t="s">
        <v>98</v>
      </c>
      <c r="D38" s="6" t="s">
        <v>153</v>
      </c>
    </row>
    <row r="39" customFormat="false" ht="15" hidden="false" customHeight="false" outlineLevel="0" collapsed="false">
      <c r="A39" s="6" t="s">
        <v>154</v>
      </c>
      <c r="B39" s="6" t="s">
        <v>95</v>
      </c>
      <c r="C39" s="6" t="s">
        <v>98</v>
      </c>
      <c r="D39" s="6"/>
    </row>
    <row r="40" customFormat="false" ht="15" hidden="false" customHeight="false" outlineLevel="0" collapsed="false">
      <c r="A40" s="6" t="s">
        <v>155</v>
      </c>
      <c r="B40" s="6" t="s">
        <v>138</v>
      </c>
      <c r="C40" s="6" t="s">
        <v>98</v>
      </c>
      <c r="D40" s="6"/>
    </row>
    <row r="41" customFormat="false" ht="15" hidden="false" customHeight="false" outlineLevel="0" collapsed="false">
      <c r="A41" s="6" t="s">
        <v>156</v>
      </c>
      <c r="B41" s="6" t="s">
        <v>138</v>
      </c>
      <c r="C41" s="6" t="s">
        <v>98</v>
      </c>
      <c r="D41" s="6"/>
    </row>
    <row r="42" customFormat="false" ht="15" hidden="false" customHeight="false" outlineLevel="0" collapsed="false">
      <c r="A42" s="6" t="s">
        <v>157</v>
      </c>
      <c r="B42" s="6" t="s">
        <v>95</v>
      </c>
      <c r="C42" s="6" t="s">
        <v>98</v>
      </c>
      <c r="D42" s="6"/>
    </row>
    <row r="43" customFormat="false" ht="15" hidden="false" customHeight="false" outlineLevel="0" collapsed="false">
      <c r="A43" s="6" t="s">
        <v>158</v>
      </c>
      <c r="B43" s="6" t="s">
        <v>95</v>
      </c>
      <c r="C43" s="6" t="s">
        <v>98</v>
      </c>
      <c r="D43" s="6" t="s">
        <v>159</v>
      </c>
    </row>
    <row r="44" customFormat="false" ht="15" hidden="false" customHeight="false" outlineLevel="0" collapsed="false">
      <c r="A44" s="6" t="s">
        <v>160</v>
      </c>
      <c r="B44" s="6" t="s">
        <v>95</v>
      </c>
      <c r="C44" s="6" t="s">
        <v>98</v>
      </c>
      <c r="D44" s="6" t="s">
        <v>161</v>
      </c>
    </row>
    <row r="45" customFormat="false" ht="15" hidden="false" customHeight="false" outlineLevel="0" collapsed="false">
      <c r="A45" s="6" t="s">
        <v>162</v>
      </c>
      <c r="B45" s="6" t="s">
        <v>95</v>
      </c>
      <c r="C45" s="6" t="s">
        <v>98</v>
      </c>
      <c r="D45" s="6" t="s">
        <v>163</v>
      </c>
    </row>
    <row r="46" customFormat="false" ht="15" hidden="false" customHeight="false" outlineLevel="0" collapsed="false">
      <c r="A46" s="6" t="s">
        <v>164</v>
      </c>
      <c r="B46" s="6" t="s">
        <v>95</v>
      </c>
      <c r="C46" s="6" t="s">
        <v>98</v>
      </c>
      <c r="D46" s="6" t="s">
        <v>165</v>
      </c>
    </row>
    <row r="47" customFormat="false" ht="15" hidden="false" customHeight="false" outlineLevel="0" collapsed="false">
      <c r="A47" s="6" t="s">
        <v>166</v>
      </c>
      <c r="B47" s="6" t="s">
        <v>95</v>
      </c>
      <c r="C47" s="6" t="s">
        <v>98</v>
      </c>
      <c r="D47" s="6" t="s">
        <v>167</v>
      </c>
    </row>
    <row r="48" customFormat="false" ht="15" hidden="false" customHeight="false" outlineLevel="0" collapsed="false">
      <c r="A48" s="6" t="s">
        <v>168</v>
      </c>
      <c r="B48" s="6" t="s">
        <v>95</v>
      </c>
      <c r="C48" s="6" t="s">
        <v>98</v>
      </c>
      <c r="D48" s="6" t="s">
        <v>169</v>
      </c>
    </row>
    <row r="49" customFormat="false" ht="15" hidden="false" customHeight="false" outlineLevel="0" collapsed="false">
      <c r="A49" s="6" t="s">
        <v>170</v>
      </c>
      <c r="B49" s="6" t="s">
        <v>95</v>
      </c>
      <c r="C49" s="6" t="s">
        <v>98</v>
      </c>
      <c r="D49" s="6" t="s">
        <v>171</v>
      </c>
    </row>
    <row r="50" customFormat="false" ht="15" hidden="false" customHeight="false" outlineLevel="0" collapsed="false">
      <c r="A50" s="6" t="s">
        <v>172</v>
      </c>
      <c r="B50" s="6" t="s">
        <v>95</v>
      </c>
      <c r="C50" s="6" t="s">
        <v>98</v>
      </c>
      <c r="D50" s="6" t="s">
        <v>173</v>
      </c>
    </row>
    <row r="51" customFormat="false" ht="15" hidden="false" customHeight="false" outlineLevel="0" collapsed="false">
      <c r="A51" s="6" t="s">
        <v>105</v>
      </c>
      <c r="B51" s="6" t="s">
        <v>106</v>
      </c>
      <c r="C51" s="6" t="s">
        <v>107</v>
      </c>
      <c r="D51" s="6"/>
    </row>
    <row r="53" customFormat="false" ht="15" hidden="false" customHeight="false" outlineLevel="0" collapsed="false">
      <c r="A53" s="7" t="s">
        <v>174</v>
      </c>
      <c r="B53" s="7"/>
      <c r="C53" s="7"/>
      <c r="D53" s="7"/>
    </row>
    <row r="54" customFormat="false" ht="15" hidden="false" customHeight="false" outlineLevel="0" collapsed="false">
      <c r="A54" s="6" t="s">
        <v>91</v>
      </c>
      <c r="B54" s="6" t="s">
        <v>92</v>
      </c>
      <c r="C54" s="6" t="s">
        <v>109</v>
      </c>
      <c r="D54" s="6"/>
    </row>
    <row r="55" customFormat="false" ht="15" hidden="false" customHeight="false" outlineLevel="0" collapsed="false">
      <c r="A55" s="6" t="s">
        <v>175</v>
      </c>
      <c r="B55" s="6" t="s">
        <v>95</v>
      </c>
      <c r="C55" s="6" t="s">
        <v>98</v>
      </c>
      <c r="D55" s="6" t="s">
        <v>176</v>
      </c>
    </row>
    <row r="56" customFormat="false" ht="35.05" hidden="false" customHeight="false" outlineLevel="0" collapsed="false">
      <c r="A56" s="6" t="s">
        <v>149</v>
      </c>
      <c r="B56" s="6" t="s">
        <v>92</v>
      </c>
      <c r="C56" s="6" t="s">
        <v>177</v>
      </c>
      <c r="D56" s="6"/>
    </row>
    <row r="57" customFormat="false" ht="15" hidden="false" customHeight="false" outlineLevel="0" collapsed="false">
      <c r="A57" s="6" t="s">
        <v>117</v>
      </c>
      <c r="B57" s="6" t="s">
        <v>95</v>
      </c>
      <c r="C57" s="6" t="s">
        <v>96</v>
      </c>
      <c r="D57" s="6"/>
    </row>
    <row r="58" customFormat="false" ht="15" hidden="false" customHeight="false" outlineLevel="0" collapsed="false">
      <c r="A58" s="6" t="s">
        <v>178</v>
      </c>
      <c r="B58" s="6" t="s">
        <v>95</v>
      </c>
      <c r="C58" s="6" t="s">
        <v>96</v>
      </c>
      <c r="D58" s="6" t="s">
        <v>179</v>
      </c>
    </row>
    <row r="59" customFormat="false" ht="15" hidden="false" customHeight="false" outlineLevel="0" collapsed="false">
      <c r="A59" s="6" t="s">
        <v>180</v>
      </c>
      <c r="B59" s="6" t="s">
        <v>181</v>
      </c>
      <c r="C59" s="6" t="s">
        <v>98</v>
      </c>
      <c r="D59" s="6"/>
    </row>
    <row r="60" customFormat="false" ht="15" hidden="false" customHeight="false" outlineLevel="0" collapsed="false">
      <c r="A60" s="6" t="s">
        <v>182</v>
      </c>
      <c r="B60" s="6" t="s">
        <v>95</v>
      </c>
      <c r="C60" s="6" t="s">
        <v>98</v>
      </c>
      <c r="D60" s="6" t="s">
        <v>183</v>
      </c>
    </row>
    <row r="61" customFormat="false" ht="15" hidden="false" customHeight="false" outlineLevel="0" collapsed="false">
      <c r="A61" s="6" t="s">
        <v>184</v>
      </c>
      <c r="B61" s="6" t="s">
        <v>95</v>
      </c>
      <c r="C61" s="6" t="s">
        <v>98</v>
      </c>
      <c r="D61" s="6"/>
    </row>
    <row r="62" customFormat="false" ht="15" hidden="false" customHeight="false" outlineLevel="0" collapsed="false">
      <c r="A62" s="6" t="s">
        <v>185</v>
      </c>
      <c r="B62" s="6" t="s">
        <v>135</v>
      </c>
      <c r="C62" s="6" t="s">
        <v>98</v>
      </c>
      <c r="D62" s="6"/>
    </row>
    <row r="63" customFormat="false" ht="15" hidden="false" customHeight="false" outlineLevel="0" collapsed="false">
      <c r="A63" s="6" t="s">
        <v>186</v>
      </c>
      <c r="B63" s="6" t="s">
        <v>106</v>
      </c>
      <c r="C63" s="6" t="s">
        <v>107</v>
      </c>
      <c r="D63" s="6"/>
    </row>
    <row r="64" customFormat="false" ht="15" hidden="false" customHeight="false" outlineLevel="0" collapsed="false">
      <c r="A64" s="6" t="s">
        <v>187</v>
      </c>
      <c r="B64" s="6" t="s">
        <v>106</v>
      </c>
      <c r="C64" s="6" t="s">
        <v>98</v>
      </c>
      <c r="D64" s="6"/>
    </row>
    <row r="66" customFormat="false" ht="15" hidden="false" customHeight="false" outlineLevel="0" collapsed="false">
      <c r="A66" s="7" t="s">
        <v>188</v>
      </c>
      <c r="B66" s="7"/>
      <c r="C66" s="7"/>
      <c r="D66" s="7"/>
    </row>
    <row r="67" customFormat="false" ht="15" hidden="false" customHeight="false" outlineLevel="0" collapsed="false">
      <c r="A67" s="6" t="s">
        <v>91</v>
      </c>
      <c r="B67" s="6" t="s">
        <v>92</v>
      </c>
      <c r="C67" s="6" t="s">
        <v>109</v>
      </c>
      <c r="D67" s="6"/>
    </row>
    <row r="68" customFormat="false" ht="23.85" hidden="false" customHeight="false" outlineLevel="0" collapsed="false">
      <c r="A68" s="6" t="s">
        <v>110</v>
      </c>
      <c r="B68" s="6" t="s">
        <v>95</v>
      </c>
      <c r="C68" s="6" t="s">
        <v>103</v>
      </c>
      <c r="D68" s="6"/>
    </row>
    <row r="69" customFormat="false" ht="15" hidden="false" customHeight="false" outlineLevel="0" collapsed="false">
      <c r="A69" s="6" t="s">
        <v>99</v>
      </c>
      <c r="B69" s="6" t="s">
        <v>95</v>
      </c>
      <c r="C69" s="6" t="s">
        <v>100</v>
      </c>
      <c r="D69" s="6"/>
    </row>
    <row r="70" customFormat="false" ht="15" hidden="false" customHeight="false" outlineLevel="0" collapsed="false">
      <c r="A70" s="6" t="s">
        <v>189</v>
      </c>
      <c r="B70" s="6" t="s">
        <v>95</v>
      </c>
      <c r="C70" s="6" t="s">
        <v>98</v>
      </c>
      <c r="D70" s="6"/>
    </row>
    <row r="71" customFormat="false" ht="15" hidden="false" customHeight="false" outlineLevel="0" collapsed="false">
      <c r="A71" s="6" t="s">
        <v>190</v>
      </c>
      <c r="B71" s="6" t="s">
        <v>95</v>
      </c>
      <c r="C71" s="6" t="s">
        <v>98</v>
      </c>
      <c r="D71" s="6"/>
    </row>
    <row r="72" customFormat="false" ht="15" hidden="false" customHeight="false" outlineLevel="0" collapsed="false">
      <c r="A72" s="6" t="s">
        <v>191</v>
      </c>
      <c r="B72" s="6" t="s">
        <v>106</v>
      </c>
      <c r="C72" s="6" t="s">
        <v>107</v>
      </c>
      <c r="D72" s="6"/>
    </row>
    <row r="73" customFormat="false" ht="15" hidden="false" customHeight="false" outlineLevel="0" collapsed="false">
      <c r="A73" s="6" t="s">
        <v>192</v>
      </c>
      <c r="B73" s="6" t="s">
        <v>106</v>
      </c>
      <c r="C73" s="6" t="s">
        <v>98</v>
      </c>
      <c r="D73" s="6" t="s">
        <v>193</v>
      </c>
    </row>
    <row r="74" customFormat="false" ht="15" hidden="false" customHeight="false" outlineLevel="0" collapsed="false">
      <c r="A74" s="6" t="s">
        <v>147</v>
      </c>
      <c r="B74" s="6" t="s">
        <v>106</v>
      </c>
      <c r="C74" s="6" t="s">
        <v>107</v>
      </c>
      <c r="D74" s="6"/>
    </row>
    <row r="76" customFormat="false" ht="15" hidden="false" customHeight="false" outlineLevel="0" collapsed="false">
      <c r="A76" s="7" t="s">
        <v>194</v>
      </c>
      <c r="B76" s="7"/>
      <c r="C76" s="7"/>
      <c r="D76" s="7"/>
    </row>
    <row r="77" customFormat="false" ht="15" hidden="false" customHeight="false" outlineLevel="0" collapsed="false">
      <c r="A77" s="6" t="s">
        <v>91</v>
      </c>
      <c r="B77" s="6" t="s">
        <v>92</v>
      </c>
      <c r="C77" s="6" t="s">
        <v>109</v>
      </c>
      <c r="D77" s="6"/>
    </row>
    <row r="78" customFormat="false" ht="23.85" hidden="false" customHeight="false" outlineLevel="0" collapsed="false">
      <c r="A78" s="6" t="s">
        <v>110</v>
      </c>
      <c r="B78" s="6" t="s">
        <v>95</v>
      </c>
      <c r="C78" s="6" t="s">
        <v>103</v>
      </c>
      <c r="D78" s="6"/>
    </row>
    <row r="79" customFormat="false" ht="15" hidden="false" customHeight="false" outlineLevel="0" collapsed="false">
      <c r="A79" s="6" t="s">
        <v>195</v>
      </c>
      <c r="B79" s="6" t="s">
        <v>95</v>
      </c>
      <c r="C79" s="6" t="s">
        <v>98</v>
      </c>
      <c r="D79" s="6" t="s">
        <v>196</v>
      </c>
    </row>
    <row r="80" customFormat="false" ht="15" hidden="false" customHeight="false" outlineLevel="0" collapsed="false">
      <c r="A80" s="6" t="s">
        <v>197</v>
      </c>
      <c r="B80" s="6" t="s">
        <v>95</v>
      </c>
      <c r="C80" s="6" t="s">
        <v>98</v>
      </c>
      <c r="D80" s="6" t="s">
        <v>198</v>
      </c>
    </row>
    <row r="81" customFormat="false" ht="15" hidden="false" customHeight="false" outlineLevel="0" collapsed="false">
      <c r="A81" s="6" t="s">
        <v>199</v>
      </c>
      <c r="B81" s="6" t="s">
        <v>95</v>
      </c>
      <c r="C81" s="6" t="s">
        <v>98</v>
      </c>
      <c r="D81" s="6" t="s">
        <v>200</v>
      </c>
    </row>
    <row r="82" customFormat="false" ht="15" hidden="false" customHeight="false" outlineLevel="0" collapsed="false">
      <c r="A82" s="6" t="s">
        <v>201</v>
      </c>
      <c r="B82" s="6" t="s">
        <v>95</v>
      </c>
      <c r="C82" s="6" t="s">
        <v>98</v>
      </c>
      <c r="D82" s="6" t="s">
        <v>202</v>
      </c>
    </row>
    <row r="83" customFormat="false" ht="15" hidden="false" customHeight="false" outlineLevel="0" collapsed="false">
      <c r="A83" s="6" t="s">
        <v>203</v>
      </c>
      <c r="B83" s="6" t="s">
        <v>95</v>
      </c>
      <c r="C83" s="6" t="s">
        <v>98</v>
      </c>
      <c r="D83" s="6" t="s">
        <v>204</v>
      </c>
    </row>
    <row r="84" customFormat="false" ht="15" hidden="false" customHeight="false" outlineLevel="0" collapsed="false">
      <c r="A84" s="6" t="s">
        <v>205</v>
      </c>
      <c r="B84" s="6" t="s">
        <v>95</v>
      </c>
      <c r="C84" s="6" t="s">
        <v>98</v>
      </c>
      <c r="D84" s="6" t="s">
        <v>206</v>
      </c>
    </row>
    <row r="85" customFormat="false" ht="15" hidden="false" customHeight="false" outlineLevel="0" collapsed="false">
      <c r="A85" s="6" t="s">
        <v>147</v>
      </c>
      <c r="B85" s="6" t="s">
        <v>106</v>
      </c>
      <c r="C85" s="6" t="s">
        <v>107</v>
      </c>
      <c r="D85" s="6"/>
    </row>
  </sheetData>
  <mergeCells count="6">
    <mergeCell ref="A2:D2"/>
    <mergeCell ref="A10:D10"/>
    <mergeCell ref="A34:D34"/>
    <mergeCell ref="A53:D53"/>
    <mergeCell ref="A66:D66"/>
    <mergeCell ref="A76:D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0"/>
    <col collapsed="false" customWidth="true" hidden="false" outlineLevel="0" max="4" min="4" style="0" width="4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5" t="s">
        <v>207</v>
      </c>
      <c r="B1" s="5" t="s">
        <v>208</v>
      </c>
      <c r="C1" s="5" t="s">
        <v>30</v>
      </c>
      <c r="D1" s="5" t="s">
        <v>209</v>
      </c>
      <c r="E1" s="5" t="s">
        <v>210</v>
      </c>
    </row>
    <row r="2" customFormat="false" ht="35.05" hidden="false" customHeight="false" outlineLevel="0" collapsed="false">
      <c r="A2" s="6" t="s">
        <v>211</v>
      </c>
      <c r="B2" s="6" t="s">
        <v>212</v>
      </c>
      <c r="C2" s="6" t="s">
        <v>213</v>
      </c>
      <c r="D2" s="6" t="s">
        <v>214</v>
      </c>
      <c r="E2" s="6" t="s">
        <v>215</v>
      </c>
    </row>
    <row r="3" customFormat="false" ht="23.85" hidden="false" customHeight="false" outlineLevel="0" collapsed="false">
      <c r="A3" s="6" t="s">
        <v>216</v>
      </c>
      <c r="B3" s="6" t="s">
        <v>212</v>
      </c>
      <c r="C3" s="6" t="s">
        <v>213</v>
      </c>
      <c r="D3" s="6" t="s">
        <v>217</v>
      </c>
      <c r="E3" s="6" t="s">
        <v>218</v>
      </c>
    </row>
    <row r="4" customFormat="false" ht="23.85" hidden="false" customHeight="false" outlineLevel="0" collapsed="false">
      <c r="A4" s="6" t="s">
        <v>219</v>
      </c>
      <c r="B4" s="6" t="s">
        <v>212</v>
      </c>
      <c r="C4" s="6" t="s">
        <v>213</v>
      </c>
      <c r="D4" s="6" t="s">
        <v>220</v>
      </c>
      <c r="E4" s="6" t="s">
        <v>221</v>
      </c>
    </row>
    <row r="5" customFormat="false" ht="35.05" hidden="false" customHeight="false" outlineLevel="0" collapsed="false">
      <c r="A5" s="6" t="s">
        <v>222</v>
      </c>
      <c r="B5" s="6" t="s">
        <v>212</v>
      </c>
      <c r="C5" s="6" t="s">
        <v>223</v>
      </c>
      <c r="D5" s="6" t="s">
        <v>224</v>
      </c>
      <c r="E5" s="6" t="s">
        <v>215</v>
      </c>
    </row>
    <row r="6" customFormat="false" ht="23.85" hidden="false" customHeight="false" outlineLevel="0" collapsed="false">
      <c r="A6" s="6" t="s">
        <v>225</v>
      </c>
      <c r="B6" s="6" t="s">
        <v>212</v>
      </c>
      <c r="C6" s="6" t="s">
        <v>226</v>
      </c>
      <c r="D6" s="6" t="s">
        <v>227</v>
      </c>
      <c r="E6" s="6" t="s">
        <v>215</v>
      </c>
    </row>
    <row r="7" customFormat="false" ht="23.85" hidden="false" customHeight="false" outlineLevel="0" collapsed="false">
      <c r="A7" s="6" t="s">
        <v>228</v>
      </c>
      <c r="B7" s="6" t="s">
        <v>229</v>
      </c>
      <c r="C7" s="6" t="s">
        <v>226</v>
      </c>
      <c r="D7" s="6" t="s">
        <v>230</v>
      </c>
      <c r="E7" s="6" t="s">
        <v>53</v>
      </c>
    </row>
    <row r="8" customFormat="false" ht="23.85" hidden="false" customHeight="false" outlineLevel="0" collapsed="false">
      <c r="A8" s="6" t="s">
        <v>231</v>
      </c>
      <c r="B8" s="6" t="s">
        <v>212</v>
      </c>
      <c r="C8" s="6" t="s">
        <v>213</v>
      </c>
      <c r="D8" s="6" t="s">
        <v>232</v>
      </c>
      <c r="E8" s="6" t="s">
        <v>53</v>
      </c>
    </row>
    <row r="9" customFormat="false" ht="23.85" hidden="false" customHeight="false" outlineLevel="0" collapsed="false">
      <c r="A9" s="6" t="s">
        <v>233</v>
      </c>
      <c r="B9" s="6" t="s">
        <v>212</v>
      </c>
      <c r="C9" s="6" t="s">
        <v>226</v>
      </c>
      <c r="D9" s="6" t="s">
        <v>234</v>
      </c>
      <c r="E9" s="6" t="s">
        <v>235</v>
      </c>
    </row>
    <row r="10" customFormat="false" ht="23.85" hidden="false" customHeight="false" outlineLevel="0" collapsed="false">
      <c r="A10" s="6" t="s">
        <v>236</v>
      </c>
      <c r="B10" s="6" t="s">
        <v>212</v>
      </c>
      <c r="C10" s="6" t="s">
        <v>237</v>
      </c>
      <c r="D10" s="6" t="s">
        <v>238</v>
      </c>
      <c r="E10" s="6" t="s">
        <v>53</v>
      </c>
    </row>
    <row r="11" customFormat="false" ht="23.85" hidden="false" customHeight="false" outlineLevel="0" collapsed="false">
      <c r="A11" s="6" t="s">
        <v>239</v>
      </c>
      <c r="B11" s="6" t="s">
        <v>229</v>
      </c>
      <c r="C11" s="6" t="s">
        <v>213</v>
      </c>
      <c r="D11" s="6" t="s">
        <v>240</v>
      </c>
      <c r="E11" s="6" t="s">
        <v>53</v>
      </c>
    </row>
    <row r="12" customFormat="false" ht="23.85" hidden="false" customHeight="false" outlineLevel="0" collapsed="false">
      <c r="A12" s="6" t="s">
        <v>241</v>
      </c>
      <c r="B12" s="6" t="s">
        <v>242</v>
      </c>
      <c r="C12" s="6" t="s">
        <v>226</v>
      </c>
      <c r="D12" s="6" t="s">
        <v>243</v>
      </c>
      <c r="E12" s="6" t="s">
        <v>53</v>
      </c>
    </row>
    <row r="13" customFormat="false" ht="23.85" hidden="false" customHeight="false" outlineLevel="0" collapsed="false">
      <c r="A13" s="6" t="s">
        <v>244</v>
      </c>
      <c r="B13" s="6" t="s">
        <v>229</v>
      </c>
      <c r="C13" s="6" t="s">
        <v>226</v>
      </c>
      <c r="D13" s="6" t="s">
        <v>245</v>
      </c>
      <c r="E13" s="6" t="s">
        <v>53</v>
      </c>
    </row>
    <row r="14" customFormat="false" ht="15" hidden="false" customHeight="false" outlineLevel="0" collapsed="false">
      <c r="A14" s="6" t="s">
        <v>246</v>
      </c>
      <c r="B14" s="6" t="s">
        <v>242</v>
      </c>
      <c r="C14" s="6" t="s">
        <v>226</v>
      </c>
      <c r="D14" s="6" t="s">
        <v>247</v>
      </c>
      <c r="E14" s="6" t="s">
        <v>53</v>
      </c>
    </row>
    <row r="15" customFormat="false" ht="23.85" hidden="false" customHeight="false" outlineLevel="0" collapsed="false">
      <c r="A15" s="6" t="s">
        <v>248</v>
      </c>
      <c r="B15" s="6" t="s">
        <v>212</v>
      </c>
      <c r="C15" s="6" t="s">
        <v>249</v>
      </c>
      <c r="D15" s="6" t="s">
        <v>250</v>
      </c>
      <c r="E15" s="6" t="s">
        <v>53</v>
      </c>
    </row>
    <row r="16" customFormat="false" ht="15" hidden="false" customHeight="false" outlineLevel="0" collapsed="false">
      <c r="A16" s="6" t="s">
        <v>251</v>
      </c>
      <c r="B16" s="6" t="s">
        <v>229</v>
      </c>
      <c r="C16" s="6" t="s">
        <v>213</v>
      </c>
      <c r="D16" s="6" t="s">
        <v>252</v>
      </c>
      <c r="E16" s="6" t="s">
        <v>253</v>
      </c>
    </row>
    <row r="17" customFormat="false" ht="15" hidden="false" customHeight="false" outlineLevel="0" collapsed="false">
      <c r="A17" s="6" t="s">
        <v>254</v>
      </c>
      <c r="B17" s="6" t="s">
        <v>212</v>
      </c>
      <c r="C17" s="6" t="s">
        <v>213</v>
      </c>
      <c r="D17" s="6" t="s">
        <v>255</v>
      </c>
      <c r="E17" s="6" t="s">
        <v>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5" t="s">
        <v>257</v>
      </c>
      <c r="B1" s="5" t="s">
        <v>30</v>
      </c>
      <c r="C1" s="5" t="s">
        <v>258</v>
      </c>
      <c r="D1" s="5" t="s">
        <v>259</v>
      </c>
      <c r="E1" s="5" t="s">
        <v>260</v>
      </c>
    </row>
    <row r="2" customFormat="false" ht="15" hidden="false" customHeight="false" outlineLevel="0" collapsed="false">
      <c r="A2" s="6" t="s">
        <v>261</v>
      </c>
      <c r="B2" s="6" t="s">
        <v>213</v>
      </c>
      <c r="C2" s="6" t="s">
        <v>262</v>
      </c>
      <c r="D2" s="6" t="s">
        <v>263</v>
      </c>
      <c r="E2" s="6" t="s">
        <v>264</v>
      </c>
    </row>
    <row r="3" customFormat="false" ht="46.25" hidden="false" customHeight="false" outlineLevel="0" collapsed="false">
      <c r="A3" s="6" t="s">
        <v>265</v>
      </c>
      <c r="B3" s="6" t="s">
        <v>213</v>
      </c>
      <c r="C3" s="6" t="s">
        <v>262</v>
      </c>
      <c r="D3" s="6" t="s">
        <v>266</v>
      </c>
      <c r="E3" s="6" t="s">
        <v>267</v>
      </c>
    </row>
    <row r="4" customFormat="false" ht="35.05" hidden="false" customHeight="false" outlineLevel="0" collapsed="false">
      <c r="A4" s="6" t="s">
        <v>268</v>
      </c>
      <c r="B4" s="6" t="s">
        <v>226</v>
      </c>
      <c r="C4" s="6" t="s">
        <v>262</v>
      </c>
      <c r="D4" s="6" t="s">
        <v>269</v>
      </c>
      <c r="E4" s="6" t="s">
        <v>270</v>
      </c>
    </row>
    <row r="5" customFormat="false" ht="23.85" hidden="false" customHeight="false" outlineLevel="0" collapsed="false">
      <c r="A5" s="6" t="s">
        <v>271</v>
      </c>
      <c r="B5" s="6" t="s">
        <v>226</v>
      </c>
      <c r="C5" s="6" t="s">
        <v>272</v>
      </c>
      <c r="D5" s="6" t="s">
        <v>273</v>
      </c>
      <c r="E5" s="6" t="s">
        <v>274</v>
      </c>
    </row>
    <row r="6" customFormat="false" ht="23.85" hidden="false" customHeight="false" outlineLevel="0" collapsed="false">
      <c r="A6" s="6" t="s">
        <v>275</v>
      </c>
      <c r="B6" s="6" t="s">
        <v>226</v>
      </c>
      <c r="C6" s="6" t="s">
        <v>276</v>
      </c>
      <c r="D6" s="6" t="s">
        <v>277</v>
      </c>
      <c r="E6" s="6" t="s">
        <v>278</v>
      </c>
    </row>
    <row r="7" customFormat="false" ht="15" hidden="false" customHeight="false" outlineLevel="0" collapsed="false">
      <c r="A7" s="6" t="s">
        <v>279</v>
      </c>
      <c r="B7" s="6" t="s">
        <v>226</v>
      </c>
      <c r="C7" s="6" t="s">
        <v>272</v>
      </c>
      <c r="D7" s="6" t="s">
        <v>280</v>
      </c>
      <c r="E7" s="6" t="s">
        <v>281</v>
      </c>
    </row>
    <row r="8" customFormat="false" ht="15" hidden="false" customHeight="false" outlineLevel="0" collapsed="false">
      <c r="A8" s="6" t="s">
        <v>282</v>
      </c>
      <c r="B8" s="6" t="s">
        <v>213</v>
      </c>
      <c r="C8" s="6" t="s">
        <v>262</v>
      </c>
      <c r="D8" s="6" t="s">
        <v>283</v>
      </c>
      <c r="E8" s="6" t="s">
        <v>284</v>
      </c>
    </row>
    <row r="9" customFormat="false" ht="15" hidden="false" customHeight="false" outlineLevel="0" collapsed="false">
      <c r="A9" s="6" t="s">
        <v>285</v>
      </c>
      <c r="B9" s="6" t="s">
        <v>213</v>
      </c>
      <c r="C9" s="6" t="s">
        <v>262</v>
      </c>
      <c r="D9" s="6" t="s">
        <v>286</v>
      </c>
      <c r="E9" s="6" t="s">
        <v>287</v>
      </c>
    </row>
    <row r="10" customFormat="false" ht="15" hidden="false" customHeight="false" outlineLevel="0" collapsed="false">
      <c r="A10" s="6" t="s">
        <v>288</v>
      </c>
      <c r="B10" s="6" t="s">
        <v>213</v>
      </c>
      <c r="C10" s="6" t="s">
        <v>262</v>
      </c>
      <c r="D10" s="6" t="s">
        <v>289</v>
      </c>
      <c r="E10" s="6" t="s">
        <v>287</v>
      </c>
    </row>
    <row r="13" customFormat="false" ht="15" hidden="false" customHeight="false" outlineLevel="0" collapsed="false">
      <c r="A13" s="8" t="s">
        <v>290</v>
      </c>
      <c r="B13" s="8"/>
      <c r="C13" s="8"/>
      <c r="D13" s="8"/>
      <c r="E13" s="8"/>
    </row>
    <row r="14" customFormat="false" ht="15" hidden="false" customHeight="false" outlineLevel="0" collapsed="false">
      <c r="A14" s="9" t="s">
        <v>291</v>
      </c>
      <c r="B14" s="9" t="s">
        <v>292</v>
      </c>
      <c r="C14" s="9" t="s">
        <v>293</v>
      </c>
      <c r="D14" s="9" t="s">
        <v>294</v>
      </c>
      <c r="E14" s="9" t="s">
        <v>295</v>
      </c>
    </row>
    <row r="15" customFormat="false" ht="35.05" hidden="false" customHeight="false" outlineLevel="0" collapsed="false">
      <c r="A15" s="6" t="s">
        <v>296</v>
      </c>
      <c r="B15" s="6" t="s">
        <v>297</v>
      </c>
      <c r="C15" s="6" t="s">
        <v>298</v>
      </c>
      <c r="D15" s="6" t="s">
        <v>299</v>
      </c>
      <c r="E15" s="6" t="s">
        <v>300</v>
      </c>
    </row>
    <row r="16" customFormat="false" ht="35.05" hidden="false" customHeight="false" outlineLevel="0" collapsed="false">
      <c r="A16" s="6" t="s">
        <v>301</v>
      </c>
      <c r="B16" s="6" t="s">
        <v>302</v>
      </c>
      <c r="C16" s="6" t="s">
        <v>298</v>
      </c>
      <c r="D16" s="6" t="s">
        <v>303</v>
      </c>
      <c r="E16" s="6" t="s">
        <v>304</v>
      </c>
    </row>
    <row r="17" customFormat="false" ht="35.05" hidden="false" customHeight="false" outlineLevel="0" collapsed="false">
      <c r="A17" s="6" t="s">
        <v>305</v>
      </c>
      <c r="B17" s="6" t="s">
        <v>306</v>
      </c>
      <c r="C17" s="6" t="s">
        <v>298</v>
      </c>
      <c r="D17" s="6" t="s">
        <v>307</v>
      </c>
      <c r="E17" s="6" t="s">
        <v>308</v>
      </c>
    </row>
  </sheetData>
  <mergeCells count="1"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5" t="s">
        <v>309</v>
      </c>
      <c r="B1" s="5" t="s">
        <v>310</v>
      </c>
      <c r="C1" s="5" t="s">
        <v>311</v>
      </c>
      <c r="D1" s="5" t="s">
        <v>312</v>
      </c>
    </row>
    <row r="2" customFormat="false" ht="15" hidden="false" customHeight="false" outlineLevel="0" collapsed="false">
      <c r="A2" s="6" t="s">
        <v>313</v>
      </c>
      <c r="B2" s="6" t="n">
        <v>157</v>
      </c>
      <c r="C2" s="6" t="s">
        <v>314</v>
      </c>
      <c r="D2" s="6" t="s">
        <v>315</v>
      </c>
    </row>
    <row r="3" customFormat="false" ht="15" hidden="false" customHeight="false" outlineLevel="0" collapsed="false">
      <c r="A3" s="6" t="s">
        <v>316</v>
      </c>
      <c r="B3" s="6" t="n">
        <v>50</v>
      </c>
      <c r="C3" s="6" t="s">
        <v>314</v>
      </c>
      <c r="D3" s="6" t="s">
        <v>317</v>
      </c>
    </row>
    <row r="4" customFormat="false" ht="15" hidden="false" customHeight="false" outlineLevel="0" collapsed="false">
      <c r="A4" s="6" t="s">
        <v>318</v>
      </c>
      <c r="B4" s="6" t="n">
        <v>54</v>
      </c>
      <c r="C4" s="6" t="s">
        <v>314</v>
      </c>
      <c r="D4" s="6" t="s">
        <v>319</v>
      </c>
    </row>
    <row r="5" customFormat="false" ht="23.85" hidden="false" customHeight="false" outlineLevel="0" collapsed="false">
      <c r="A5" s="6" t="s">
        <v>320</v>
      </c>
      <c r="B5" s="6" t="n">
        <v>255</v>
      </c>
      <c r="C5" s="6" t="s">
        <v>314</v>
      </c>
      <c r="D5" s="6" t="s">
        <v>321</v>
      </c>
    </row>
    <row r="6" customFormat="false" ht="15" hidden="false" customHeight="false" outlineLevel="0" collapsed="false">
      <c r="A6" s="6" t="s">
        <v>322</v>
      </c>
      <c r="B6" s="6" t="n">
        <v>195</v>
      </c>
      <c r="C6" s="6" t="s">
        <v>314</v>
      </c>
      <c r="D6" s="6" t="s">
        <v>323</v>
      </c>
    </row>
    <row r="7" customFormat="false" ht="15" hidden="false" customHeight="false" outlineLevel="0" collapsed="false">
      <c r="A7" s="6" t="s">
        <v>324</v>
      </c>
      <c r="B7" s="6" t="n">
        <v>80</v>
      </c>
      <c r="C7" s="6" t="s">
        <v>325</v>
      </c>
      <c r="D7" s="6" t="s">
        <v>326</v>
      </c>
    </row>
    <row r="8" customFormat="false" ht="15" hidden="false" customHeight="false" outlineLevel="0" collapsed="false">
      <c r="A8" s="6" t="s">
        <v>327</v>
      </c>
      <c r="B8" s="6" t="n">
        <v>60</v>
      </c>
      <c r="C8" s="6" t="s">
        <v>325</v>
      </c>
      <c r="D8" s="6" t="s">
        <v>328</v>
      </c>
    </row>
    <row r="9" customFormat="false" ht="15" hidden="false" customHeight="false" outlineLevel="0" collapsed="false">
      <c r="A9" s="6" t="s">
        <v>329</v>
      </c>
      <c r="B9" s="6" t="n">
        <v>80</v>
      </c>
      <c r="C9" s="6" t="s">
        <v>325</v>
      </c>
      <c r="D9" s="6" t="s">
        <v>330</v>
      </c>
    </row>
    <row r="10" customFormat="false" ht="15" hidden="false" customHeight="false" outlineLevel="0" collapsed="false">
      <c r="A10" s="6" t="s">
        <v>331</v>
      </c>
      <c r="B10" s="6" t="n">
        <v>100</v>
      </c>
      <c r="C10" s="6" t="s">
        <v>325</v>
      </c>
      <c r="D10" s="6" t="s">
        <v>332</v>
      </c>
    </row>
    <row r="11" customFormat="false" ht="15" hidden="false" customHeight="false" outlineLevel="0" collapsed="false">
      <c r="A11" s="6" t="s">
        <v>333</v>
      </c>
      <c r="B11" s="6" t="n">
        <v>80</v>
      </c>
      <c r="C11" s="6" t="s">
        <v>325</v>
      </c>
      <c r="D11" s="6" t="s">
        <v>334</v>
      </c>
    </row>
    <row r="12" customFormat="false" ht="15" hidden="false" customHeight="false" outlineLevel="0" collapsed="false">
      <c r="A12" s="6" t="s">
        <v>335</v>
      </c>
      <c r="B12" s="6" t="n">
        <v>323</v>
      </c>
      <c r="C12" s="6" t="s">
        <v>325</v>
      </c>
      <c r="D12" s="6" t="s">
        <v>336</v>
      </c>
    </row>
    <row r="13" customFormat="false" ht="15" hidden="false" customHeight="false" outlineLevel="0" collapsed="false">
      <c r="A13" s="6" t="s">
        <v>337</v>
      </c>
      <c r="B13" s="6" t="n">
        <v>166</v>
      </c>
      <c r="C13" s="6" t="s">
        <v>325</v>
      </c>
      <c r="D13" s="6" t="s">
        <v>338</v>
      </c>
    </row>
    <row r="14" customFormat="false" ht="15" hidden="false" customHeight="false" outlineLevel="0" collapsed="false">
      <c r="A14" s="6" t="s">
        <v>339</v>
      </c>
      <c r="B14" s="6" t="n">
        <v>60</v>
      </c>
      <c r="C14" s="6" t="s">
        <v>325</v>
      </c>
      <c r="D14" s="6" t="s">
        <v>340</v>
      </c>
    </row>
    <row r="15" customFormat="false" ht="15" hidden="false" customHeight="false" outlineLevel="0" collapsed="false">
      <c r="A15" s="6" t="s">
        <v>341</v>
      </c>
      <c r="B15" s="6" t="n">
        <v>74</v>
      </c>
      <c r="C15" s="6" t="s">
        <v>325</v>
      </c>
      <c r="D15" s="6" t="s">
        <v>342</v>
      </c>
    </row>
    <row r="16" customFormat="false" ht="15" hidden="false" customHeight="false" outlineLevel="0" collapsed="false">
      <c r="A16" s="6" t="s">
        <v>343</v>
      </c>
      <c r="B16" s="6" t="n">
        <v>80</v>
      </c>
      <c r="C16" s="6" t="s">
        <v>344</v>
      </c>
      <c r="D16" s="6" t="s">
        <v>345</v>
      </c>
    </row>
    <row r="17" customFormat="false" ht="15" hidden="false" customHeight="false" outlineLevel="0" collapsed="false">
      <c r="A17" s="6" t="s">
        <v>346</v>
      </c>
      <c r="B17" s="6" t="n">
        <v>100</v>
      </c>
      <c r="C17" s="6" t="s">
        <v>344</v>
      </c>
      <c r="D17" s="6" t="s">
        <v>347</v>
      </c>
    </row>
    <row r="18" customFormat="false" ht="15" hidden="false" customHeight="false" outlineLevel="0" collapsed="false">
      <c r="A18" s="6" t="s">
        <v>348</v>
      </c>
      <c r="B18" s="6" t="n">
        <v>80</v>
      </c>
      <c r="C18" s="6" t="s">
        <v>344</v>
      </c>
      <c r="D18" s="6" t="s">
        <v>349</v>
      </c>
    </row>
    <row r="19" customFormat="false" ht="15" hidden="false" customHeight="false" outlineLevel="0" collapsed="false">
      <c r="A19" s="6" t="s">
        <v>350</v>
      </c>
      <c r="B19" s="6" t="n">
        <v>80</v>
      </c>
      <c r="C19" s="6" t="s">
        <v>344</v>
      </c>
      <c r="D19" s="6" t="s">
        <v>351</v>
      </c>
    </row>
    <row r="20" customFormat="false" ht="15" hidden="false" customHeight="false" outlineLevel="0" collapsed="false">
      <c r="A20" s="6" t="s">
        <v>352</v>
      </c>
      <c r="B20" s="6" t="n">
        <v>60</v>
      </c>
      <c r="C20" s="6" t="s">
        <v>344</v>
      </c>
      <c r="D20" s="6" t="s">
        <v>353</v>
      </c>
    </row>
    <row r="21" customFormat="false" ht="15" hidden="false" customHeight="false" outlineLevel="0" collapsed="false">
      <c r="A21" s="6" t="s">
        <v>354</v>
      </c>
      <c r="B21" s="6" t="n">
        <v>100</v>
      </c>
      <c r="C21" s="6" t="s">
        <v>344</v>
      </c>
      <c r="D21" s="6" t="s">
        <v>355</v>
      </c>
    </row>
    <row r="22" customFormat="false" ht="15" hidden="false" customHeight="false" outlineLevel="0" collapsed="false">
      <c r="A22" s="6" t="s">
        <v>356</v>
      </c>
      <c r="B22" s="6" t="n">
        <v>80</v>
      </c>
      <c r="C22" s="6" t="s">
        <v>344</v>
      </c>
      <c r="D22" s="6" t="s">
        <v>357</v>
      </c>
    </row>
    <row r="23" customFormat="false" ht="15" hidden="false" customHeight="false" outlineLevel="0" collapsed="false">
      <c r="A23" s="6" t="s">
        <v>358</v>
      </c>
      <c r="B23" s="6" t="n">
        <v>100</v>
      </c>
      <c r="C23" s="6" t="s">
        <v>344</v>
      </c>
      <c r="D23" s="6" t="s">
        <v>359</v>
      </c>
    </row>
    <row r="24" customFormat="false" ht="15" hidden="false" customHeight="false" outlineLevel="0" collapsed="false">
      <c r="A24" s="6" t="s">
        <v>360</v>
      </c>
      <c r="B24" s="6" t="n">
        <v>171</v>
      </c>
      <c r="C24" s="6" t="s">
        <v>344</v>
      </c>
      <c r="D24" s="6" t="s">
        <v>361</v>
      </c>
    </row>
    <row r="25" customFormat="false" ht="15" hidden="false" customHeight="false" outlineLevel="0" collapsed="false">
      <c r="A25" s="6" t="s">
        <v>362</v>
      </c>
      <c r="B25" s="6" t="n">
        <v>60</v>
      </c>
      <c r="C25" s="6" t="s">
        <v>344</v>
      </c>
      <c r="D25" s="6" t="s">
        <v>363</v>
      </c>
    </row>
    <row r="26" customFormat="false" ht="15" hidden="false" customHeight="false" outlineLevel="0" collapsed="false">
      <c r="A26" s="6" t="s">
        <v>364</v>
      </c>
      <c r="B26" s="6" t="n">
        <v>60</v>
      </c>
      <c r="C26" s="6" t="s">
        <v>344</v>
      </c>
      <c r="D26" s="6" t="s">
        <v>365</v>
      </c>
    </row>
    <row r="27" customFormat="false" ht="15" hidden="false" customHeight="false" outlineLevel="0" collapsed="false">
      <c r="A27" s="6" t="s">
        <v>366</v>
      </c>
      <c r="B27" s="6" t="n">
        <v>80</v>
      </c>
      <c r="C27" s="6" t="s">
        <v>367</v>
      </c>
      <c r="D27" s="6" t="s">
        <v>368</v>
      </c>
    </row>
    <row r="28" customFormat="false" ht="15" hidden="false" customHeight="false" outlineLevel="0" collapsed="false">
      <c r="A28" s="6" t="s">
        <v>369</v>
      </c>
      <c r="B28" s="6" t="n">
        <v>206</v>
      </c>
      <c r="C28" s="6" t="s">
        <v>367</v>
      </c>
      <c r="D28" s="6" t="s">
        <v>370</v>
      </c>
    </row>
    <row r="29" customFormat="false" ht="15" hidden="false" customHeight="false" outlineLevel="0" collapsed="false">
      <c r="A29" s="6" t="s">
        <v>371</v>
      </c>
      <c r="B29" s="6" t="n">
        <v>60</v>
      </c>
      <c r="C29" s="6" t="s">
        <v>367</v>
      </c>
      <c r="D29" s="6" t="s">
        <v>372</v>
      </c>
    </row>
    <row r="30" customFormat="false" ht="15" hidden="false" customHeight="false" outlineLevel="0" collapsed="false">
      <c r="A30" s="6" t="s">
        <v>373</v>
      </c>
      <c r="B30" s="6" t="n">
        <v>60</v>
      </c>
      <c r="C30" s="6" t="s">
        <v>367</v>
      </c>
      <c r="D30" s="6" t="s">
        <v>374</v>
      </c>
    </row>
    <row r="31" customFormat="false" ht="15" hidden="false" customHeight="false" outlineLevel="0" collapsed="false">
      <c r="A31" s="6" t="s">
        <v>375</v>
      </c>
      <c r="B31" s="6" t="n">
        <v>185</v>
      </c>
      <c r="C31" s="6" t="s">
        <v>367</v>
      </c>
      <c r="D31" s="6" t="s">
        <v>376</v>
      </c>
    </row>
    <row r="32" customFormat="false" ht="15" hidden="false" customHeight="false" outlineLevel="0" collapsed="false">
      <c r="A32" s="6" t="s">
        <v>377</v>
      </c>
      <c r="B32" s="6" t="n">
        <v>40</v>
      </c>
      <c r="C32" s="6" t="s">
        <v>378</v>
      </c>
      <c r="D32" s="6" t="s">
        <v>379</v>
      </c>
    </row>
    <row r="33" customFormat="false" ht="15" hidden="false" customHeight="false" outlineLevel="0" collapsed="false">
      <c r="A33" s="6" t="s">
        <v>380</v>
      </c>
      <c r="B33" s="6" t="n">
        <v>264</v>
      </c>
      <c r="C33" s="6" t="s">
        <v>378</v>
      </c>
      <c r="D33" s="6" t="s">
        <v>381</v>
      </c>
    </row>
    <row r="34" customFormat="false" ht="15" hidden="false" customHeight="false" outlineLevel="0" collapsed="false">
      <c r="A34" s="6" t="s">
        <v>382</v>
      </c>
      <c r="B34" s="6" t="n">
        <v>20</v>
      </c>
      <c r="C34" s="6" t="s">
        <v>378</v>
      </c>
      <c r="D34" s="6" t="s">
        <v>383</v>
      </c>
    </row>
    <row r="35" customFormat="false" ht="15" hidden="false" customHeight="false" outlineLevel="0" collapsed="false">
      <c r="A35" s="6" t="s">
        <v>384</v>
      </c>
      <c r="B35" s="6" t="n">
        <v>70</v>
      </c>
      <c r="C35" s="6" t="s">
        <v>385</v>
      </c>
      <c r="D35" s="6" t="s">
        <v>386</v>
      </c>
    </row>
    <row r="36" customFormat="false" ht="15" hidden="false" customHeight="false" outlineLevel="0" collapsed="false">
      <c r="A36" s="6" t="s">
        <v>387</v>
      </c>
      <c r="B36" s="6" t="n">
        <v>124</v>
      </c>
      <c r="C36" s="6" t="s">
        <v>385</v>
      </c>
      <c r="D36" s="6" t="s">
        <v>388</v>
      </c>
    </row>
    <row r="37" customFormat="false" ht="15" hidden="false" customHeight="false" outlineLevel="0" collapsed="false">
      <c r="A37" s="6" t="s">
        <v>389</v>
      </c>
      <c r="B37" s="6" t="n">
        <v>212</v>
      </c>
      <c r="C37" s="6" t="s">
        <v>390</v>
      </c>
      <c r="D37" s="6" t="s">
        <v>391</v>
      </c>
    </row>
    <row r="38" customFormat="false" ht="15" hidden="false" customHeight="false" outlineLevel="0" collapsed="false">
      <c r="A38" s="6" t="s">
        <v>392</v>
      </c>
      <c r="B38" s="6" t="n">
        <v>43</v>
      </c>
      <c r="C38" s="6" t="s">
        <v>390</v>
      </c>
      <c r="D38" s="6" t="s">
        <v>393</v>
      </c>
    </row>
    <row r="39" customFormat="false" ht="15" hidden="false" customHeight="false" outlineLevel="0" collapsed="false">
      <c r="A39" s="6" t="s">
        <v>394</v>
      </c>
      <c r="B39" s="6" t="n">
        <v>160</v>
      </c>
      <c r="C39" s="6" t="s">
        <v>390</v>
      </c>
      <c r="D39" s="6" t="s">
        <v>395</v>
      </c>
    </row>
    <row r="40" customFormat="false" ht="15" hidden="false" customHeight="false" outlineLevel="0" collapsed="false">
      <c r="A40" s="6" t="s">
        <v>396</v>
      </c>
      <c r="B40" s="6" t="n">
        <v>50</v>
      </c>
      <c r="C40" s="6" t="s">
        <v>390</v>
      </c>
      <c r="D40" s="6" t="s">
        <v>397</v>
      </c>
    </row>
    <row r="41" customFormat="false" ht="15" hidden="false" customHeight="false" outlineLevel="0" collapsed="false">
      <c r="A41" s="6" t="s">
        <v>398</v>
      </c>
      <c r="B41" s="6" t="n">
        <v>57</v>
      </c>
      <c r="C41" s="6" t="s">
        <v>390</v>
      </c>
      <c r="D41" s="6" t="s">
        <v>399</v>
      </c>
    </row>
    <row r="42" customFormat="false" ht="15" hidden="false" customHeight="false" outlineLevel="0" collapsed="false">
      <c r="A42" s="6" t="s">
        <v>400</v>
      </c>
      <c r="B42" s="6" t="n">
        <v>13</v>
      </c>
      <c r="C42" s="6" t="s">
        <v>390</v>
      </c>
      <c r="D42" s="6" t="s">
        <v>401</v>
      </c>
    </row>
    <row r="43" customFormat="false" ht="15" hidden="false" customHeight="false" outlineLevel="0" collapsed="false">
      <c r="A43" s="6" t="s">
        <v>402</v>
      </c>
      <c r="B43" s="6" t="n">
        <v>267</v>
      </c>
      <c r="C43" s="6" t="s">
        <v>390</v>
      </c>
      <c r="D43" s="6" t="s">
        <v>403</v>
      </c>
    </row>
    <row r="44" customFormat="false" ht="15" hidden="false" customHeight="false" outlineLevel="0" collapsed="false">
      <c r="A44" s="6" t="s">
        <v>404</v>
      </c>
      <c r="B44" s="6" t="n">
        <v>72</v>
      </c>
      <c r="C44" s="6" t="s">
        <v>390</v>
      </c>
      <c r="D44" s="6" t="s">
        <v>405</v>
      </c>
    </row>
    <row r="45" customFormat="false" ht="15" hidden="false" customHeight="false" outlineLevel="0" collapsed="false">
      <c r="A45" s="6" t="s">
        <v>406</v>
      </c>
      <c r="B45" s="6" t="n">
        <v>64</v>
      </c>
      <c r="C45" s="6" t="s">
        <v>390</v>
      </c>
      <c r="D45" s="6" t="s">
        <v>407</v>
      </c>
    </row>
    <row r="46" customFormat="false" ht="15" hidden="false" customHeight="false" outlineLevel="0" collapsed="false">
      <c r="A46" s="6" t="s">
        <v>408</v>
      </c>
      <c r="B46" s="6" t="n">
        <v>18</v>
      </c>
      <c r="C46" s="6" t="s">
        <v>390</v>
      </c>
      <c r="D46" s="6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7" t="s">
        <v>410</v>
      </c>
      <c r="B1" s="7"/>
      <c r="C1" s="7"/>
    </row>
    <row r="2" customFormat="false" ht="15" hidden="false" customHeight="false" outlineLevel="0" collapsed="false">
      <c r="A2" s="9" t="s">
        <v>411</v>
      </c>
      <c r="B2" s="9" t="s">
        <v>412</v>
      </c>
      <c r="C2" s="9" t="s">
        <v>413</v>
      </c>
    </row>
    <row r="3" customFormat="false" ht="15" hidden="false" customHeight="false" outlineLevel="0" collapsed="false">
      <c r="A3" s="6" t="s">
        <v>414</v>
      </c>
      <c r="B3" s="6" t="s">
        <v>415</v>
      </c>
      <c r="C3" s="6" t="s">
        <v>416</v>
      </c>
    </row>
    <row r="4" customFormat="false" ht="23.85" hidden="false" customHeight="false" outlineLevel="0" collapsed="false">
      <c r="A4" s="6" t="s">
        <v>417</v>
      </c>
      <c r="B4" s="6" t="s">
        <v>418</v>
      </c>
      <c r="C4" s="6" t="s">
        <v>419</v>
      </c>
    </row>
    <row r="5" customFormat="false" ht="15" hidden="false" customHeight="false" outlineLevel="0" collapsed="false">
      <c r="A5" s="6" t="s">
        <v>17</v>
      </c>
      <c r="B5" s="6" t="s">
        <v>420</v>
      </c>
      <c r="C5" s="6" t="s">
        <v>421</v>
      </c>
    </row>
    <row r="6" customFormat="false" ht="15" hidden="false" customHeight="false" outlineLevel="0" collapsed="false">
      <c r="A6" s="6" t="s">
        <v>422</v>
      </c>
      <c r="B6" s="6" t="s">
        <v>423</v>
      </c>
      <c r="C6" s="6" t="s">
        <v>424</v>
      </c>
    </row>
    <row r="7" customFormat="false" ht="15" hidden="false" customHeight="false" outlineLevel="0" collapsed="false">
      <c r="A7" s="6" t="s">
        <v>425</v>
      </c>
      <c r="B7" s="6" t="s">
        <v>426</v>
      </c>
      <c r="C7" s="6" t="s">
        <v>427</v>
      </c>
    </row>
    <row r="8" customFormat="false" ht="15" hidden="false" customHeight="false" outlineLevel="0" collapsed="false">
      <c r="A8" s="6" t="s">
        <v>19</v>
      </c>
      <c r="B8" s="6" t="s">
        <v>428</v>
      </c>
      <c r="C8" s="6" t="s">
        <v>429</v>
      </c>
    </row>
    <row r="9" customFormat="false" ht="15" hidden="false" customHeight="false" outlineLevel="0" collapsed="false">
      <c r="A9" s="6" t="s">
        <v>430</v>
      </c>
      <c r="B9" s="6" t="s">
        <v>431</v>
      </c>
      <c r="C9" s="6" t="s">
        <v>432</v>
      </c>
    </row>
    <row r="10" customFormat="false" ht="15" hidden="false" customHeight="false" outlineLevel="0" collapsed="false">
      <c r="A10" s="6" t="s">
        <v>15</v>
      </c>
      <c r="B10" s="6" t="s">
        <v>433</v>
      </c>
      <c r="C10" s="6" t="s">
        <v>434</v>
      </c>
    </row>
    <row r="11" customFormat="false" ht="15" hidden="false" customHeight="false" outlineLevel="0" collapsed="false">
      <c r="A11" s="6" t="s">
        <v>435</v>
      </c>
      <c r="B11" s="6" t="s">
        <v>436</v>
      </c>
      <c r="C11" s="6" t="s">
        <v>437</v>
      </c>
    </row>
    <row r="12" customFormat="false" ht="23.85" hidden="false" customHeight="false" outlineLevel="0" collapsed="false">
      <c r="A12" s="6" t="s">
        <v>438</v>
      </c>
      <c r="B12" s="6" t="s">
        <v>439</v>
      </c>
      <c r="C12" s="6" t="s">
        <v>440</v>
      </c>
    </row>
    <row r="14" customFormat="false" ht="15" hidden="false" customHeight="false" outlineLevel="0" collapsed="false">
      <c r="A14" s="7" t="s">
        <v>441</v>
      </c>
      <c r="B14" s="7"/>
      <c r="C14" s="7"/>
    </row>
    <row r="15" customFormat="false" ht="15" hidden="false" customHeight="false" outlineLevel="0" collapsed="false">
      <c r="A15" s="9" t="s">
        <v>411</v>
      </c>
      <c r="B15" s="9" t="s">
        <v>412</v>
      </c>
      <c r="C15" s="9" t="s">
        <v>413</v>
      </c>
    </row>
    <row r="16" customFormat="false" ht="15" hidden="false" customHeight="false" outlineLevel="0" collapsed="false">
      <c r="A16" s="6" t="s">
        <v>414</v>
      </c>
      <c r="B16" s="6" t="s">
        <v>442</v>
      </c>
      <c r="C16" s="6" t="s">
        <v>287</v>
      </c>
    </row>
    <row r="17" customFormat="false" ht="23.85" hidden="false" customHeight="false" outlineLevel="0" collapsed="false">
      <c r="A17" s="6" t="s">
        <v>417</v>
      </c>
      <c r="B17" s="6" t="s">
        <v>443</v>
      </c>
      <c r="C17" s="6" t="s">
        <v>444</v>
      </c>
    </row>
    <row r="18" customFormat="false" ht="23.85" hidden="false" customHeight="false" outlineLevel="0" collapsed="false">
      <c r="A18" s="6" t="s">
        <v>17</v>
      </c>
      <c r="B18" s="6" t="s">
        <v>445</v>
      </c>
      <c r="C18" s="6" t="s">
        <v>446</v>
      </c>
    </row>
    <row r="19" customFormat="false" ht="15" hidden="false" customHeight="false" outlineLevel="0" collapsed="false">
      <c r="A19" s="6" t="s">
        <v>422</v>
      </c>
      <c r="B19" s="6" t="s">
        <v>447</v>
      </c>
      <c r="C19" s="6" t="s">
        <v>448</v>
      </c>
    </row>
    <row r="20" customFormat="false" ht="15" hidden="false" customHeight="false" outlineLevel="0" collapsed="false">
      <c r="A20" s="6" t="s">
        <v>425</v>
      </c>
      <c r="B20" s="6" t="s">
        <v>449</v>
      </c>
      <c r="C20" s="6" t="s">
        <v>450</v>
      </c>
    </row>
    <row r="21" customFormat="false" ht="23.85" hidden="false" customHeight="false" outlineLevel="0" collapsed="false">
      <c r="A21" s="6" t="s">
        <v>19</v>
      </c>
      <c r="B21" s="6" t="s">
        <v>451</v>
      </c>
      <c r="C21" s="6" t="s">
        <v>452</v>
      </c>
    </row>
    <row r="22" customFormat="false" ht="15" hidden="false" customHeight="false" outlineLevel="0" collapsed="false">
      <c r="A22" s="6" t="s">
        <v>430</v>
      </c>
      <c r="B22" s="6" t="s">
        <v>453</v>
      </c>
      <c r="C22" s="6" t="s">
        <v>284</v>
      </c>
    </row>
    <row r="23" customFormat="false" ht="15" hidden="false" customHeight="false" outlineLevel="0" collapsed="false">
      <c r="A23" s="6" t="s">
        <v>15</v>
      </c>
      <c r="B23" s="6" t="s">
        <v>454</v>
      </c>
      <c r="C23" s="6" t="s">
        <v>455</v>
      </c>
    </row>
    <row r="24" customFormat="false" ht="15" hidden="false" customHeight="false" outlineLevel="0" collapsed="false">
      <c r="A24" s="6" t="s">
        <v>435</v>
      </c>
      <c r="B24" s="6" t="s">
        <v>456</v>
      </c>
      <c r="C24" s="6" t="s">
        <v>457</v>
      </c>
    </row>
    <row r="25" customFormat="false" ht="23.85" hidden="false" customHeight="false" outlineLevel="0" collapsed="false">
      <c r="A25" s="6" t="s">
        <v>438</v>
      </c>
      <c r="B25" s="6" t="s">
        <v>458</v>
      </c>
      <c r="C25" s="6" t="s">
        <v>459</v>
      </c>
    </row>
    <row r="27" customFormat="false" ht="15" hidden="false" customHeight="false" outlineLevel="0" collapsed="false">
      <c r="A27" s="7" t="s">
        <v>460</v>
      </c>
      <c r="B27" s="7"/>
      <c r="C27" s="7"/>
    </row>
    <row r="28" customFormat="false" ht="15" hidden="false" customHeight="false" outlineLevel="0" collapsed="false">
      <c r="A28" s="9" t="s">
        <v>411</v>
      </c>
      <c r="B28" s="9" t="s">
        <v>412</v>
      </c>
      <c r="C28" s="9" t="s">
        <v>413</v>
      </c>
    </row>
    <row r="29" customFormat="false" ht="15" hidden="false" customHeight="false" outlineLevel="0" collapsed="false">
      <c r="A29" s="6" t="s">
        <v>414</v>
      </c>
      <c r="B29" s="6" t="s">
        <v>461</v>
      </c>
      <c r="C29" s="6" t="s">
        <v>462</v>
      </c>
    </row>
    <row r="30" customFormat="false" ht="23.85" hidden="false" customHeight="false" outlineLevel="0" collapsed="false">
      <c r="A30" s="6" t="s">
        <v>417</v>
      </c>
      <c r="B30" s="6" t="s">
        <v>463</v>
      </c>
      <c r="C30" s="6" t="s">
        <v>464</v>
      </c>
    </row>
    <row r="31" customFormat="false" ht="23.85" hidden="false" customHeight="false" outlineLevel="0" collapsed="false">
      <c r="A31" s="6" t="s">
        <v>17</v>
      </c>
      <c r="B31" s="6" t="s">
        <v>465</v>
      </c>
      <c r="C31" s="6" t="s">
        <v>466</v>
      </c>
    </row>
    <row r="32" customFormat="false" ht="15" hidden="false" customHeight="false" outlineLevel="0" collapsed="false">
      <c r="A32" s="6" t="s">
        <v>422</v>
      </c>
      <c r="B32" s="6" t="s">
        <v>467</v>
      </c>
      <c r="C32" s="6" t="s">
        <v>287</v>
      </c>
    </row>
    <row r="33" customFormat="false" ht="23.85" hidden="false" customHeight="false" outlineLevel="0" collapsed="false">
      <c r="A33" s="6" t="s">
        <v>425</v>
      </c>
      <c r="B33" s="6" t="s">
        <v>468</v>
      </c>
      <c r="C33" s="6" t="s">
        <v>469</v>
      </c>
    </row>
    <row r="34" customFormat="false" ht="23.85" hidden="false" customHeight="false" outlineLevel="0" collapsed="false">
      <c r="A34" s="6" t="s">
        <v>19</v>
      </c>
      <c r="B34" s="6" t="s">
        <v>470</v>
      </c>
      <c r="C34" s="6" t="s">
        <v>471</v>
      </c>
    </row>
    <row r="35" customFormat="false" ht="15" hidden="false" customHeight="false" outlineLevel="0" collapsed="false">
      <c r="A35" s="6" t="s">
        <v>430</v>
      </c>
      <c r="B35" s="6" t="s">
        <v>472</v>
      </c>
      <c r="C35" s="6" t="s">
        <v>471</v>
      </c>
    </row>
    <row r="36" customFormat="false" ht="23.85" hidden="false" customHeight="false" outlineLevel="0" collapsed="false">
      <c r="A36" s="6" t="s">
        <v>15</v>
      </c>
      <c r="B36" s="6" t="s">
        <v>473</v>
      </c>
      <c r="C36" s="6" t="s">
        <v>471</v>
      </c>
    </row>
    <row r="37" customFormat="false" ht="15" hidden="false" customHeight="false" outlineLevel="0" collapsed="false">
      <c r="A37" s="6" t="s">
        <v>435</v>
      </c>
      <c r="B37" s="6" t="s">
        <v>474</v>
      </c>
      <c r="C37" s="6" t="s">
        <v>475</v>
      </c>
    </row>
    <row r="38" customFormat="false" ht="15" hidden="false" customHeight="false" outlineLevel="0" collapsed="false">
      <c r="A38" s="6" t="s">
        <v>438</v>
      </c>
      <c r="B38" s="6" t="s">
        <v>476</v>
      </c>
      <c r="C38" s="6" t="s">
        <v>477</v>
      </c>
    </row>
    <row r="40" customFormat="false" ht="15" hidden="false" customHeight="false" outlineLevel="0" collapsed="false">
      <c r="A40" s="7" t="s">
        <v>478</v>
      </c>
      <c r="B40" s="7"/>
      <c r="C40" s="7"/>
    </row>
    <row r="41" customFormat="false" ht="15" hidden="false" customHeight="false" outlineLevel="0" collapsed="false">
      <c r="A41" s="9" t="s">
        <v>411</v>
      </c>
      <c r="B41" s="9" t="s">
        <v>412</v>
      </c>
      <c r="C41" s="9" t="s">
        <v>413</v>
      </c>
    </row>
    <row r="42" customFormat="false" ht="15" hidden="false" customHeight="false" outlineLevel="0" collapsed="false">
      <c r="A42" s="6" t="s">
        <v>414</v>
      </c>
      <c r="B42" s="6" t="s">
        <v>479</v>
      </c>
      <c r="C42" s="6" t="s">
        <v>480</v>
      </c>
    </row>
    <row r="43" customFormat="false" ht="15" hidden="false" customHeight="false" outlineLevel="0" collapsed="false">
      <c r="A43" s="6" t="s">
        <v>417</v>
      </c>
      <c r="B43" s="6" t="s">
        <v>481</v>
      </c>
      <c r="C43" s="6" t="s">
        <v>482</v>
      </c>
    </row>
    <row r="44" customFormat="false" ht="15" hidden="false" customHeight="false" outlineLevel="0" collapsed="false">
      <c r="A44" s="6" t="s">
        <v>17</v>
      </c>
      <c r="B44" s="6" t="s">
        <v>483</v>
      </c>
      <c r="C44" s="6" t="s">
        <v>484</v>
      </c>
    </row>
    <row r="45" customFormat="false" ht="23.85" hidden="false" customHeight="false" outlineLevel="0" collapsed="false">
      <c r="A45" s="6" t="s">
        <v>422</v>
      </c>
      <c r="B45" s="6" t="s">
        <v>485</v>
      </c>
      <c r="C45" s="6" t="s">
        <v>53</v>
      </c>
    </row>
    <row r="46" customFormat="false" ht="15" hidden="false" customHeight="false" outlineLevel="0" collapsed="false">
      <c r="A46" s="6" t="s">
        <v>425</v>
      </c>
      <c r="B46" s="6" t="s">
        <v>486</v>
      </c>
      <c r="C46" s="6" t="s">
        <v>487</v>
      </c>
    </row>
    <row r="47" customFormat="false" ht="23.85" hidden="false" customHeight="false" outlineLevel="0" collapsed="false">
      <c r="A47" s="6" t="s">
        <v>19</v>
      </c>
      <c r="B47" s="6" t="s">
        <v>488</v>
      </c>
      <c r="C47" s="6" t="s">
        <v>489</v>
      </c>
    </row>
    <row r="48" customFormat="false" ht="23.85" hidden="false" customHeight="false" outlineLevel="0" collapsed="false">
      <c r="A48" s="6" t="s">
        <v>430</v>
      </c>
      <c r="B48" s="6" t="s">
        <v>490</v>
      </c>
      <c r="C48" s="6" t="s">
        <v>491</v>
      </c>
    </row>
    <row r="49" customFormat="false" ht="15" hidden="false" customHeight="false" outlineLevel="0" collapsed="false">
      <c r="A49" s="6" t="s">
        <v>15</v>
      </c>
      <c r="B49" s="6" t="s">
        <v>492</v>
      </c>
      <c r="C49" s="6" t="s">
        <v>493</v>
      </c>
    </row>
    <row r="50" customFormat="false" ht="15" hidden="false" customHeight="false" outlineLevel="0" collapsed="false">
      <c r="A50" s="6" t="s">
        <v>435</v>
      </c>
      <c r="B50" s="6" t="s">
        <v>494</v>
      </c>
      <c r="C50" s="6" t="s">
        <v>495</v>
      </c>
    </row>
    <row r="51" customFormat="false" ht="23.85" hidden="false" customHeight="false" outlineLevel="0" collapsed="false">
      <c r="A51" s="6" t="s">
        <v>438</v>
      </c>
      <c r="B51" s="6" t="s">
        <v>496</v>
      </c>
      <c r="C51" s="6" t="s">
        <v>497</v>
      </c>
    </row>
  </sheetData>
  <mergeCells count="4">
    <mergeCell ref="A1:C1"/>
    <mergeCell ref="A14:C14"/>
    <mergeCell ref="A27:C27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5" t="s">
        <v>498</v>
      </c>
      <c r="B1" s="5" t="s">
        <v>499</v>
      </c>
      <c r="C1" s="5" t="s">
        <v>312</v>
      </c>
    </row>
    <row r="2" customFormat="false" ht="15" hidden="false" customHeight="false" outlineLevel="0" collapsed="false">
      <c r="A2" s="6" t="s">
        <v>500</v>
      </c>
      <c r="B2" s="6" t="s">
        <v>226</v>
      </c>
      <c r="C2" s="6" t="s">
        <v>501</v>
      </c>
    </row>
    <row r="3" customFormat="false" ht="15" hidden="false" customHeight="false" outlineLevel="0" collapsed="false">
      <c r="A3" s="6" t="s">
        <v>502</v>
      </c>
      <c r="B3" s="6" t="s">
        <v>226</v>
      </c>
      <c r="C3" s="6" t="s">
        <v>503</v>
      </c>
    </row>
    <row r="4" customFormat="false" ht="15" hidden="false" customHeight="false" outlineLevel="0" collapsed="false">
      <c r="A4" s="6" t="s">
        <v>504</v>
      </c>
      <c r="B4" s="6" t="s">
        <v>226</v>
      </c>
      <c r="C4" s="6" t="s">
        <v>505</v>
      </c>
    </row>
    <row r="5" customFormat="false" ht="15" hidden="false" customHeight="false" outlineLevel="0" collapsed="false">
      <c r="A5" s="6" t="s">
        <v>506</v>
      </c>
      <c r="B5" s="6" t="s">
        <v>226</v>
      </c>
      <c r="C5" s="6" t="s">
        <v>507</v>
      </c>
    </row>
    <row r="6" customFormat="false" ht="15" hidden="false" customHeight="false" outlineLevel="0" collapsed="false">
      <c r="A6" s="6" t="s">
        <v>508</v>
      </c>
      <c r="B6" s="6" t="s">
        <v>226</v>
      </c>
      <c r="C6" s="6" t="s">
        <v>509</v>
      </c>
    </row>
    <row r="7" customFormat="false" ht="15" hidden="false" customHeight="false" outlineLevel="0" collapsed="false">
      <c r="A7" s="6" t="s">
        <v>510</v>
      </c>
      <c r="B7" s="6" t="s">
        <v>226</v>
      </c>
      <c r="C7" s="6" t="s">
        <v>511</v>
      </c>
    </row>
    <row r="8" customFormat="false" ht="15" hidden="false" customHeight="false" outlineLevel="0" collapsed="false">
      <c r="A8" s="6" t="s">
        <v>512</v>
      </c>
      <c r="B8" s="6" t="s">
        <v>226</v>
      </c>
      <c r="C8" s="6" t="s">
        <v>513</v>
      </c>
    </row>
    <row r="9" customFormat="false" ht="15" hidden="false" customHeight="false" outlineLevel="0" collapsed="false">
      <c r="A9" s="6" t="s">
        <v>514</v>
      </c>
      <c r="B9" s="6" t="s">
        <v>226</v>
      </c>
      <c r="C9" s="6" t="s">
        <v>515</v>
      </c>
    </row>
    <row r="10" customFormat="false" ht="15" hidden="false" customHeight="false" outlineLevel="0" collapsed="false">
      <c r="A10" s="6" t="s">
        <v>516</v>
      </c>
      <c r="B10" s="6" t="s">
        <v>226</v>
      </c>
      <c r="C10" s="6" t="s">
        <v>517</v>
      </c>
    </row>
    <row r="11" customFormat="false" ht="15" hidden="false" customHeight="false" outlineLevel="0" collapsed="false">
      <c r="A11" s="6" t="s">
        <v>518</v>
      </c>
      <c r="B11" s="6" t="s">
        <v>226</v>
      </c>
      <c r="C11" s="6" t="s">
        <v>519</v>
      </c>
    </row>
    <row r="12" customFormat="false" ht="15" hidden="false" customHeight="false" outlineLevel="0" collapsed="false">
      <c r="A12" s="6" t="s">
        <v>520</v>
      </c>
      <c r="B12" s="6" t="s">
        <v>213</v>
      </c>
      <c r="C12" s="6" t="s">
        <v>521</v>
      </c>
    </row>
    <row r="15" customFormat="false" ht="15" hidden="false" customHeight="false" outlineLevel="0" collapsed="false">
      <c r="A15" s="10" t="s">
        <v>522</v>
      </c>
      <c r="B15" s="10"/>
      <c r="C15" s="10"/>
    </row>
    <row r="16" customFormat="false" ht="15" hidden="false" customHeight="false" outlineLevel="0" collapsed="false">
      <c r="A16" s="9" t="s">
        <v>207</v>
      </c>
      <c r="B16" s="9" t="s">
        <v>523</v>
      </c>
      <c r="C16" s="9" t="s">
        <v>89</v>
      </c>
    </row>
    <row r="17" customFormat="false" ht="15" hidden="false" customHeight="false" outlineLevel="0" collapsed="false">
      <c r="A17" s="6" t="s">
        <v>261</v>
      </c>
      <c r="B17" s="6" t="s">
        <v>524</v>
      </c>
      <c r="C17" s="6" t="s">
        <v>525</v>
      </c>
    </row>
    <row r="18" customFormat="false" ht="15" hidden="false" customHeight="false" outlineLevel="0" collapsed="false">
      <c r="A18" s="6" t="s">
        <v>265</v>
      </c>
      <c r="B18" s="6" t="s">
        <v>524</v>
      </c>
      <c r="C18" s="6" t="s">
        <v>526</v>
      </c>
    </row>
    <row r="19" customFormat="false" ht="15" hidden="false" customHeight="false" outlineLevel="0" collapsed="false">
      <c r="A19" s="6" t="s">
        <v>527</v>
      </c>
      <c r="B19" s="6" t="s">
        <v>524</v>
      </c>
      <c r="C19" s="6" t="s">
        <v>528</v>
      </c>
    </row>
    <row r="20" customFormat="false" ht="15" hidden="false" customHeight="false" outlineLevel="0" collapsed="false">
      <c r="A20" s="6" t="s">
        <v>282</v>
      </c>
      <c r="B20" s="6" t="s">
        <v>524</v>
      </c>
      <c r="C20" s="6" t="s">
        <v>529</v>
      </c>
    </row>
    <row r="21" customFormat="false" ht="15" hidden="false" customHeight="false" outlineLevel="0" collapsed="false">
      <c r="A21" s="6" t="s">
        <v>530</v>
      </c>
      <c r="B21" s="6" t="s">
        <v>524</v>
      </c>
      <c r="C21" s="6" t="s">
        <v>531</v>
      </c>
    </row>
    <row r="22" customFormat="false" ht="15" hidden="false" customHeight="false" outlineLevel="0" collapsed="false">
      <c r="A22" s="6" t="s">
        <v>532</v>
      </c>
      <c r="B22" s="6" t="s">
        <v>524</v>
      </c>
      <c r="C22" s="6" t="s">
        <v>533</v>
      </c>
    </row>
    <row r="23" customFormat="false" ht="15" hidden="false" customHeight="false" outlineLevel="0" collapsed="false">
      <c r="A23" s="6" t="s">
        <v>534</v>
      </c>
      <c r="B23" s="6" t="s">
        <v>524</v>
      </c>
      <c r="C23" s="6"/>
    </row>
    <row r="24" customFormat="false" ht="15" hidden="false" customHeight="false" outlineLevel="0" collapsed="false">
      <c r="A24" s="6" t="s">
        <v>535</v>
      </c>
      <c r="B24" s="6" t="s">
        <v>524</v>
      </c>
      <c r="C24" s="6" t="s">
        <v>536</v>
      </c>
    </row>
    <row r="25" customFormat="false" ht="15" hidden="false" customHeight="false" outlineLevel="0" collapsed="false">
      <c r="A25" s="6" t="s">
        <v>268</v>
      </c>
      <c r="B25" s="6" t="s">
        <v>537</v>
      </c>
      <c r="C25" s="6" t="s">
        <v>538</v>
      </c>
    </row>
    <row r="26" customFormat="false" ht="15" hidden="false" customHeight="false" outlineLevel="0" collapsed="false">
      <c r="A26" s="6" t="s">
        <v>271</v>
      </c>
      <c r="B26" s="6" t="s">
        <v>537</v>
      </c>
      <c r="C26" s="6" t="s">
        <v>539</v>
      </c>
    </row>
    <row r="27" customFormat="false" ht="15" hidden="false" customHeight="false" outlineLevel="0" collapsed="false">
      <c r="A27" s="6" t="s">
        <v>279</v>
      </c>
      <c r="B27" s="6" t="s">
        <v>537</v>
      </c>
      <c r="C27" s="6" t="s">
        <v>539</v>
      </c>
    </row>
    <row r="28" customFormat="false" ht="15" hidden="false" customHeight="false" outlineLevel="0" collapsed="false">
      <c r="A28" s="6" t="s">
        <v>275</v>
      </c>
      <c r="B28" s="6" t="s">
        <v>537</v>
      </c>
      <c r="C28" s="6" t="s">
        <v>540</v>
      </c>
    </row>
    <row r="29" customFormat="false" ht="15" hidden="false" customHeight="false" outlineLevel="0" collapsed="false">
      <c r="A29" s="6" t="s">
        <v>222</v>
      </c>
      <c r="B29" s="6" t="s">
        <v>537</v>
      </c>
      <c r="C29" s="6" t="s">
        <v>541</v>
      </c>
    </row>
    <row r="30" customFormat="false" ht="15" hidden="false" customHeight="false" outlineLevel="0" collapsed="false">
      <c r="A30" s="6" t="s">
        <v>542</v>
      </c>
      <c r="B30" s="6" t="s">
        <v>537</v>
      </c>
      <c r="C30" s="6" t="s">
        <v>543</v>
      </c>
    </row>
    <row r="31" customFormat="false" ht="15" hidden="false" customHeight="false" outlineLevel="0" collapsed="false">
      <c r="A31" s="6" t="s">
        <v>244</v>
      </c>
      <c r="B31" s="6" t="s">
        <v>537</v>
      </c>
      <c r="C31" s="6" t="s">
        <v>543</v>
      </c>
    </row>
  </sheetData>
  <mergeCells count="1">
    <mergeCell ref="A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26.85" hidden="false" customHeight="false" outlineLevel="0" collapsed="false">
      <c r="A1" s="5" t="s">
        <v>544</v>
      </c>
      <c r="B1" s="5" t="s">
        <v>310</v>
      </c>
      <c r="C1" s="5" t="s">
        <v>545</v>
      </c>
      <c r="D1" s="5" t="s">
        <v>546</v>
      </c>
    </row>
    <row r="2" customFormat="false" ht="23.85" hidden="false" customHeight="false" outlineLevel="0" collapsed="false">
      <c r="A2" s="11" t="s">
        <v>547</v>
      </c>
      <c r="B2" s="11" t="n">
        <v>980</v>
      </c>
      <c r="C2" s="11" t="s">
        <v>226</v>
      </c>
      <c r="D2" s="11" t="s">
        <v>548</v>
      </c>
    </row>
    <row r="3" customFormat="false" ht="15" hidden="false" customHeight="false" outlineLevel="0" collapsed="false">
      <c r="A3" s="6" t="s">
        <v>549</v>
      </c>
      <c r="B3" s="6" t="n">
        <v>509</v>
      </c>
      <c r="C3" s="6" t="s">
        <v>213</v>
      </c>
      <c r="D3" s="6" t="s">
        <v>550</v>
      </c>
    </row>
    <row r="4" customFormat="false" ht="15" hidden="false" customHeight="false" outlineLevel="0" collapsed="false">
      <c r="A4" s="6" t="s">
        <v>551</v>
      </c>
      <c r="B4" s="6" t="n">
        <v>422</v>
      </c>
      <c r="C4" s="6" t="s">
        <v>213</v>
      </c>
      <c r="D4" s="6" t="s">
        <v>552</v>
      </c>
    </row>
    <row r="5" customFormat="false" ht="15" hidden="false" customHeight="false" outlineLevel="0" collapsed="false">
      <c r="A5" s="11" t="s">
        <v>553</v>
      </c>
      <c r="B5" s="11" t="n">
        <v>417</v>
      </c>
      <c r="C5" s="11" t="s">
        <v>226</v>
      </c>
      <c r="D5" s="11" t="s">
        <v>554</v>
      </c>
    </row>
    <row r="6" customFormat="false" ht="15" hidden="false" customHeight="false" outlineLevel="0" collapsed="false">
      <c r="A6" s="6" t="s">
        <v>555</v>
      </c>
      <c r="B6" s="6" t="n">
        <v>389</v>
      </c>
      <c r="C6" s="6" t="s">
        <v>556</v>
      </c>
      <c r="D6" s="6" t="s">
        <v>557</v>
      </c>
    </row>
    <row r="7" customFormat="false" ht="15" hidden="false" customHeight="false" outlineLevel="0" collapsed="false">
      <c r="A7" s="6" t="s">
        <v>558</v>
      </c>
      <c r="B7" s="6" t="n">
        <v>323</v>
      </c>
      <c r="C7" s="6" t="s">
        <v>556</v>
      </c>
      <c r="D7" s="6" t="s">
        <v>559</v>
      </c>
    </row>
    <row r="8" customFormat="false" ht="15" hidden="false" customHeight="false" outlineLevel="0" collapsed="false">
      <c r="A8" s="6" t="s">
        <v>560</v>
      </c>
      <c r="B8" s="6" t="n">
        <v>292</v>
      </c>
      <c r="C8" s="6" t="s">
        <v>213</v>
      </c>
      <c r="D8" s="6" t="s">
        <v>561</v>
      </c>
    </row>
    <row r="9" customFormat="false" ht="15" hidden="false" customHeight="false" outlineLevel="0" collapsed="false">
      <c r="A9" s="11" t="s">
        <v>562</v>
      </c>
      <c r="B9" s="11" t="n">
        <v>267</v>
      </c>
      <c r="C9" s="11" t="s">
        <v>226</v>
      </c>
      <c r="D9" s="11" t="s">
        <v>563</v>
      </c>
    </row>
    <row r="10" customFormat="false" ht="15" hidden="false" customHeight="false" outlineLevel="0" collapsed="false">
      <c r="A10" s="11" t="s">
        <v>564</v>
      </c>
      <c r="B10" s="11" t="n">
        <v>264</v>
      </c>
      <c r="C10" s="11" t="s">
        <v>226</v>
      </c>
      <c r="D10" s="11" t="s">
        <v>565</v>
      </c>
    </row>
    <row r="11" customFormat="false" ht="15" hidden="false" customHeight="false" outlineLevel="0" collapsed="false">
      <c r="A11" s="6" t="s">
        <v>566</v>
      </c>
      <c r="B11" s="6" t="n">
        <v>255</v>
      </c>
      <c r="C11" s="6" t="s">
        <v>213</v>
      </c>
      <c r="D11" s="6" t="s">
        <v>567</v>
      </c>
    </row>
    <row r="12" customFormat="false" ht="15" hidden="false" customHeight="false" outlineLevel="0" collapsed="false">
      <c r="A12" s="6" t="s">
        <v>568</v>
      </c>
      <c r="B12" s="6" t="n">
        <v>241</v>
      </c>
      <c r="C12" s="6" t="s">
        <v>556</v>
      </c>
      <c r="D12" s="6" t="s">
        <v>569</v>
      </c>
    </row>
    <row r="13" customFormat="false" ht="15" hidden="false" customHeight="false" outlineLevel="0" collapsed="false">
      <c r="A13" s="6" t="s">
        <v>570</v>
      </c>
      <c r="B13" s="6" t="n">
        <v>212</v>
      </c>
      <c r="C13" s="6" t="s">
        <v>213</v>
      </c>
      <c r="D13" s="6" t="s">
        <v>571</v>
      </c>
    </row>
    <row r="14" customFormat="false" ht="15" hidden="false" customHeight="false" outlineLevel="0" collapsed="false">
      <c r="A14" s="6" t="s">
        <v>572</v>
      </c>
      <c r="B14" s="6" t="n">
        <v>206</v>
      </c>
      <c r="C14" s="6" t="s">
        <v>213</v>
      </c>
      <c r="D14" s="6" t="s">
        <v>573</v>
      </c>
    </row>
    <row r="15" customFormat="false" ht="15" hidden="false" customHeight="false" outlineLevel="0" collapsed="false">
      <c r="A15" s="6" t="s">
        <v>574</v>
      </c>
      <c r="B15" s="6" t="n">
        <v>205</v>
      </c>
      <c r="C15" s="6" t="s">
        <v>213</v>
      </c>
      <c r="D15" s="6" t="s">
        <v>575</v>
      </c>
    </row>
    <row r="16" customFormat="false" ht="15" hidden="false" customHeight="false" outlineLevel="0" collapsed="false">
      <c r="A16" s="6" t="s">
        <v>576</v>
      </c>
      <c r="B16" s="6" t="n">
        <v>197</v>
      </c>
      <c r="C16" s="6" t="s">
        <v>213</v>
      </c>
      <c r="D16" s="6" t="s">
        <v>577</v>
      </c>
    </row>
    <row r="18" customFormat="false" ht="15" hidden="false" customHeight="false" outlineLevel="0" collapsed="false">
      <c r="A18" s="12" t="s">
        <v>578</v>
      </c>
      <c r="B18" s="12" t="n">
        <f aca="false">SUM(B2:B16)</f>
        <v>5179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5" t="s">
        <v>579</v>
      </c>
      <c r="B1" s="5" t="s">
        <v>580</v>
      </c>
      <c r="C1" s="5" t="s">
        <v>581</v>
      </c>
      <c r="D1" s="5" t="s">
        <v>582</v>
      </c>
    </row>
    <row r="2" customFormat="false" ht="23.85" hidden="false" customHeight="false" outlineLevel="0" collapsed="false">
      <c r="A2" s="11" t="n">
        <v>1</v>
      </c>
      <c r="B2" s="11" t="s">
        <v>583</v>
      </c>
      <c r="C2" s="11" t="s">
        <v>584</v>
      </c>
      <c r="D2" s="11" t="s">
        <v>585</v>
      </c>
    </row>
    <row r="3" customFormat="false" ht="23.85" hidden="false" customHeight="false" outlineLevel="0" collapsed="false">
      <c r="A3" s="11" t="n">
        <v>2</v>
      </c>
      <c r="B3" s="11" t="s">
        <v>583</v>
      </c>
      <c r="C3" s="11" t="s">
        <v>586</v>
      </c>
      <c r="D3" s="11" t="s">
        <v>585</v>
      </c>
    </row>
    <row r="4" customFormat="false" ht="23.85" hidden="false" customHeight="false" outlineLevel="0" collapsed="false">
      <c r="A4" s="6" t="n">
        <v>3</v>
      </c>
      <c r="B4" s="6" t="s">
        <v>583</v>
      </c>
      <c r="C4" s="6" t="s">
        <v>587</v>
      </c>
      <c r="D4" s="6" t="s">
        <v>588</v>
      </c>
    </row>
    <row r="5" customFormat="false" ht="23.85" hidden="false" customHeight="false" outlineLevel="0" collapsed="false">
      <c r="A5" s="11" t="n">
        <v>4</v>
      </c>
      <c r="B5" s="11" t="s">
        <v>589</v>
      </c>
      <c r="C5" s="11" t="s">
        <v>590</v>
      </c>
      <c r="D5" s="11" t="s">
        <v>585</v>
      </c>
    </row>
    <row r="6" customFormat="false" ht="23.85" hidden="false" customHeight="false" outlineLevel="0" collapsed="false">
      <c r="A6" s="6" t="n">
        <v>5</v>
      </c>
      <c r="B6" s="6" t="s">
        <v>589</v>
      </c>
      <c r="C6" s="6" t="s">
        <v>591</v>
      </c>
      <c r="D6" s="6" t="s">
        <v>588</v>
      </c>
    </row>
    <row r="7" customFormat="false" ht="23.85" hidden="false" customHeight="false" outlineLevel="0" collapsed="false">
      <c r="A7" s="13" t="n">
        <v>6</v>
      </c>
      <c r="B7" s="13" t="s">
        <v>592</v>
      </c>
      <c r="C7" s="13" t="s">
        <v>593</v>
      </c>
      <c r="D7" s="13" t="s">
        <v>594</v>
      </c>
    </row>
    <row r="8" customFormat="false" ht="23.85" hidden="false" customHeight="false" outlineLevel="0" collapsed="false">
      <c r="A8" s="6" t="n">
        <v>7</v>
      </c>
      <c r="B8" s="6" t="s">
        <v>592</v>
      </c>
      <c r="C8" s="6" t="s">
        <v>595</v>
      </c>
      <c r="D8" s="6" t="s">
        <v>588</v>
      </c>
    </row>
    <row r="9" customFormat="false" ht="23.85" hidden="false" customHeight="false" outlineLevel="0" collapsed="false">
      <c r="A9" s="11" t="n">
        <v>8</v>
      </c>
      <c r="B9" s="11" t="s">
        <v>596</v>
      </c>
      <c r="C9" s="11" t="s">
        <v>597</v>
      </c>
      <c r="D9" s="11" t="s">
        <v>585</v>
      </c>
    </row>
    <row r="10" customFormat="false" ht="23.85" hidden="false" customHeight="false" outlineLevel="0" collapsed="false">
      <c r="A10" s="6" t="n">
        <v>9</v>
      </c>
      <c r="B10" s="6" t="s">
        <v>596</v>
      </c>
      <c r="C10" s="6" t="s">
        <v>598</v>
      </c>
      <c r="D10" s="6" t="s">
        <v>588</v>
      </c>
    </row>
    <row r="11" customFormat="false" ht="23.85" hidden="false" customHeight="false" outlineLevel="0" collapsed="false">
      <c r="A11" s="11" t="n">
        <v>10</v>
      </c>
      <c r="B11" s="11" t="s">
        <v>596</v>
      </c>
      <c r="C11" s="11" t="s">
        <v>599</v>
      </c>
      <c r="D11" s="11" t="s">
        <v>585</v>
      </c>
    </row>
    <row r="12" customFormat="false" ht="23.85" hidden="false" customHeight="false" outlineLevel="0" collapsed="false">
      <c r="A12" s="6" t="n">
        <v>11</v>
      </c>
      <c r="B12" s="6" t="s">
        <v>600</v>
      </c>
      <c r="C12" s="6" t="s">
        <v>601</v>
      </c>
      <c r="D12" s="6" t="s">
        <v>588</v>
      </c>
    </row>
    <row r="13" customFormat="false" ht="23.85" hidden="false" customHeight="false" outlineLevel="0" collapsed="false">
      <c r="A13" s="6" t="n">
        <v>12</v>
      </c>
      <c r="B13" s="6" t="s">
        <v>602</v>
      </c>
      <c r="C13" s="6" t="s">
        <v>603</v>
      </c>
      <c r="D13" s="6" t="s">
        <v>588</v>
      </c>
    </row>
    <row r="14" customFormat="false" ht="15" hidden="false" customHeight="false" outlineLevel="0" collapsed="false">
      <c r="A14" s="6" t="n">
        <v>13</v>
      </c>
      <c r="B14" s="6" t="s">
        <v>602</v>
      </c>
      <c r="C14" s="6" t="s">
        <v>604</v>
      </c>
      <c r="D14" s="6" t="s">
        <v>588</v>
      </c>
    </row>
    <row r="15" customFormat="false" ht="23.85" hidden="false" customHeight="false" outlineLevel="0" collapsed="false">
      <c r="A15" s="11" t="n">
        <v>14</v>
      </c>
      <c r="B15" s="11" t="s">
        <v>605</v>
      </c>
      <c r="C15" s="11" t="s">
        <v>606</v>
      </c>
      <c r="D15" s="11" t="s">
        <v>585</v>
      </c>
    </row>
    <row r="16" customFormat="false" ht="15" hidden="false" customHeight="false" outlineLevel="0" collapsed="false">
      <c r="A16" s="6" t="n">
        <v>15</v>
      </c>
      <c r="B16" s="6" t="s">
        <v>605</v>
      </c>
      <c r="C16" s="6" t="s">
        <v>607</v>
      </c>
      <c r="D16" s="6" t="s">
        <v>588</v>
      </c>
    </row>
    <row r="17" customFormat="false" ht="23.85" hidden="false" customHeight="false" outlineLevel="0" collapsed="false">
      <c r="A17" s="6" t="n">
        <v>16</v>
      </c>
      <c r="B17" s="6" t="s">
        <v>605</v>
      </c>
      <c r="C17" s="6" t="s">
        <v>608</v>
      </c>
      <c r="D17" s="6" t="s">
        <v>588</v>
      </c>
    </row>
    <row r="18" customFormat="false" ht="23.85" hidden="false" customHeight="false" outlineLevel="0" collapsed="false">
      <c r="A18" s="11" t="n">
        <v>17</v>
      </c>
      <c r="B18" s="11" t="s">
        <v>28</v>
      </c>
      <c r="C18" s="11" t="s">
        <v>609</v>
      </c>
      <c r="D18" s="11" t="s">
        <v>585</v>
      </c>
    </row>
    <row r="19" customFormat="false" ht="23.85" hidden="false" customHeight="false" outlineLevel="0" collapsed="false">
      <c r="A19" s="13" t="n">
        <v>18</v>
      </c>
      <c r="B19" s="13" t="s">
        <v>610</v>
      </c>
      <c r="C19" s="13" t="s">
        <v>611</v>
      </c>
      <c r="D19" s="13" t="s">
        <v>594</v>
      </c>
    </row>
    <row r="21" customFormat="false" ht="15" hidden="false" customHeight="false" outlineLevel="0" collapsed="false">
      <c r="A21" s="12" t="s">
        <v>612</v>
      </c>
    </row>
    <row r="22" customFormat="false" ht="15" hidden="false" customHeight="false" outlineLevel="0" collapsed="false">
      <c r="B22" s="14" t="s">
        <v>594</v>
      </c>
      <c r="C22" s="0" t="n">
        <f aca="false">COUNTIF(D2:D19,"High")</f>
        <v>2</v>
      </c>
    </row>
    <row r="23" customFormat="false" ht="15" hidden="false" customHeight="false" outlineLevel="0" collapsed="false">
      <c r="B23" s="15" t="s">
        <v>585</v>
      </c>
      <c r="C23" s="0" t="n">
        <f aca="false">COUNTIF(D2:D19,"Medium")</f>
        <v>7</v>
      </c>
    </row>
    <row r="24" customFormat="false" ht="15" hidden="false" customHeight="false" outlineLevel="0" collapsed="false">
      <c r="B24" s="16" t="s">
        <v>588</v>
      </c>
      <c r="C24" s="0" t="n">
        <f aca="false">COUNTIF(D2:D19,"Low")</f>
        <v>9</v>
      </c>
    </row>
    <row r="25" customFormat="false" ht="15" hidden="false" customHeight="false" outlineLevel="0" collapsed="false">
      <c r="B25" s="12" t="s">
        <v>613</v>
      </c>
      <c r="C25" s="0" t="n">
        <f aca="false">COUNTA(A2:A19)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2026-04-12T11:00:42Z</dcterms:created>
  <dc:creator>openpyxl</dc:creator>
  <dc:description/>
  <dc:language>en-US</dc:language>
  <cp:lastModifiedBy/>
  <dcterms:modified xsi:type="dcterms:W3CDTF">2026-04-12T11:00:42Z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